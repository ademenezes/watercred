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ademenezes1_worldbank_org/Documents/Documents/WaterSAP Georgia/"/>
    </mc:Choice>
  </mc:AlternateContent>
  <xr:revisionPtr revIDLastSave="0" documentId="8_{254A03F1-0C5B-471D-A27B-3219B979AB1E}" xr6:coauthVersionLast="47" xr6:coauthVersionMax="47" xr10:uidLastSave="{00000000-0000-0000-0000-000000000000}"/>
  <bookViews>
    <workbookView xWindow="-98" yWindow="-98" windowWidth="19396" windowHeight="11475" xr2:uid="{C7017EA6-E67E-4464-93D6-0536FB547882}"/>
  </bookViews>
  <sheets>
    <sheet name="Basis for index score" sheetId="1" r:id="rId1"/>
    <sheet name="Merging O&amp;M" sheetId="6" r:id="rId2"/>
    <sheet name="Values for indicators" sheetId="2" r:id="rId3"/>
    <sheet name="Weight ranking" sheetId="3" r:id="rId4"/>
  </sheets>
  <definedNames>
    <definedName name="AverageTarrifDifferential">'Values for indicators'!$P$1:$P$5</definedName>
    <definedName name="BadDebtProvision">'Values for indicators'!$AW$1:$AW$5</definedName>
    <definedName name="BCEfficiency">'Values for indicators'!$AZ$1:$AZ$5</definedName>
    <definedName name="DebtCashAvailable">'Values for indicators'!$AN$1:$AN$5</definedName>
    <definedName name="DebtorDays">'Values for indicators'!$AT$1:$AT$5</definedName>
    <definedName name="DebtServiceCoverage">'Values for indicators'!$AH$1:$AH$5</definedName>
    <definedName name="DebtToEquity">'Values for indicators'!$AQ$1:$AQ$5</definedName>
    <definedName name="ElectricityCosts">'Values for indicators'!$V$1:$V$5</definedName>
    <definedName name="EmployeeCosts">'Values for indicators'!$Y$1:$Y$5</definedName>
    <definedName name="GrantDependency">'Values for indicators'!$AK$1:$AK$5</definedName>
    <definedName name="MaintenanceCosts">'Values for indicators'!$S$1:$S$5</definedName>
    <definedName name="NonRevenue">'Values for indicators'!$G$1:$G$5</definedName>
    <definedName name="OMCoverage">'Values for indicators'!$AB$1:$AB$5</definedName>
    <definedName name="Percent25_10">'Values for indicators'!$AE$1:$AE$5</definedName>
    <definedName name="PovertyRate">'Values for indicators'!$A$1:$B$5</definedName>
    <definedName name="povertyRateDisplay">'Values for indicators'!$A$1:$A$5</definedName>
    <definedName name="RevenueDiversification">'Values for indicators'!$M$1:$M$5</definedName>
    <definedName name="SanitationCoverage">'Values for indicators'!$D$1:$D$5</definedName>
    <definedName name="StaffConnections">'Values for indicators'!$J$1:$J$5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6" l="1"/>
  <c r="D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E3" i="6"/>
  <c r="C3" i="6"/>
  <c r="E2" i="6"/>
  <c r="C2" i="6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  <c r="D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2" i="6" l="1"/>
  <c r="E25" i="1"/>
  <c r="C25" i="1" s="1"/>
</calcChain>
</file>

<file path=xl/sharedStrings.xml><?xml version="1.0" encoding="utf-8"?>
<sst xmlns="http://schemas.openxmlformats.org/spreadsheetml/2006/main" count="383" uniqueCount="193">
  <si>
    <t>Question</t>
  </si>
  <si>
    <t>Options</t>
  </si>
  <si>
    <t>Value</t>
  </si>
  <si>
    <t>Weight</t>
  </si>
  <si>
    <t>Max Value</t>
  </si>
  <si>
    <t>Definition</t>
  </si>
  <si>
    <t>Formula</t>
  </si>
  <si>
    <t>Sources</t>
  </si>
  <si>
    <t>Links</t>
  </si>
  <si>
    <t>Poverty Rate</t>
  </si>
  <si>
    <t>20-40</t>
  </si>
  <si>
    <t>Share of population below poverty line</t>
  </si>
  <si>
    <t>Total number of poor people in the area/ total popullaiton of the area</t>
  </si>
  <si>
    <t>National statistics office, WB PovCalNet</t>
  </si>
  <si>
    <t>https://povertydata.worldbank.org</t>
  </si>
  <si>
    <t xml:space="preserve"> Sanitation Coverage </t>
  </si>
  <si>
    <t>90-100</t>
  </si>
  <si>
    <t>Population with improved/safely managed sanitation</t>
  </si>
  <si>
    <t>Number of people with access to safe Sanitation Services / Population of the area</t>
  </si>
  <si>
    <t>Utility sewerage records, FSM operators, JMP</t>
  </si>
  <si>
    <t>https://washdata.org</t>
  </si>
  <si>
    <t>Water Coverage</t>
  </si>
  <si>
    <t>70-80</t>
  </si>
  <si>
    <t>Population served with piped/safely managed water</t>
  </si>
  <si>
    <t>Number of people served with potable Water Supply Services / Population of area</t>
  </si>
  <si>
    <t>Utility reports, billing registry</t>
  </si>
  <si>
    <t>https://ib-net.org</t>
  </si>
  <si>
    <t xml:space="preserve">Non-Revenue Water </t>
  </si>
  <si>
    <t>30-40</t>
  </si>
  <si>
    <t>Water produced but not billed</t>
  </si>
  <si>
    <t>Total Volume of Water Lost from Commercial and Physical Losses as a proportion of Water Produced</t>
  </si>
  <si>
    <t>Production meters, billing system</t>
  </si>
  <si>
    <t>https://www.iwa-network.org</t>
  </si>
  <si>
    <t xml:space="preserve">Staff / 1000 Connection </t>
  </si>
  <si>
    <t>Number of staff per 1,000 connections</t>
  </si>
  <si>
    <t>Number of Staff Members / (total number of connections/1000)</t>
  </si>
  <si>
    <t>HR records, billing connections</t>
  </si>
  <si>
    <t xml:space="preserve">Revenue Diversification </t>
  </si>
  <si>
    <t>&gt;70%</t>
  </si>
  <si>
    <t>Share of non‑tariff revenue</t>
  </si>
  <si>
    <t>% of residential revenue - % institutional/commercial revenue</t>
  </si>
  <si>
    <t>Income statement</t>
  </si>
  <si>
    <t xml:space="preserve">Average Tariff Differential </t>
  </si>
  <si>
    <t>20-35%</t>
  </si>
  <si>
    <t>Difference between highest &amp; lowest tariff</t>
  </si>
  <si>
    <t>(100*(Average Tariff - Average Cost)/ Average cost)</t>
  </si>
  <si>
    <t>Tariff schedule</t>
  </si>
  <si>
    <t xml:space="preserve">Maintenance Costs / OPEX </t>
  </si>
  <si>
    <t>4-6%</t>
  </si>
  <si>
    <t>Maintenance as % of OPEX</t>
  </si>
  <si>
    <t>Total Maintenance Costs / total operations and maintenance expenditure</t>
  </si>
  <si>
    <t>O&amp;M budget, OPEX ledger</t>
  </si>
  <si>
    <t xml:space="preserve">Electricity Costs / OPEX </t>
  </si>
  <si>
    <t>&gt;25%</t>
  </si>
  <si>
    <t>Electricity as % of OPEX</t>
  </si>
  <si>
    <t>Total Electricity Costs / total operation and maintenance expenditure</t>
  </si>
  <si>
    <t>Utility energy bills</t>
  </si>
  <si>
    <t xml:space="preserve">Employee Costs / OPEX </t>
  </si>
  <si>
    <t>35-40%</t>
  </si>
  <si>
    <t>Employee costs as % of OPEX</t>
  </si>
  <si>
    <t>Total Employee Costs (inclusive of salary, pension and other related employee benefits) as % of total OPEX</t>
  </si>
  <si>
    <t xml:space="preserve">O&amp;M Coverage </t>
  </si>
  <si>
    <t>120-130%</t>
  </si>
  <si>
    <t>Ability to cover O&amp;M from revenues</t>
  </si>
  <si>
    <t>Total revenue from water and sewerage sales /total operations and maintenance expenditure</t>
  </si>
  <si>
    <t xml:space="preserve">EBITDA / Revenue </t>
  </si>
  <si>
    <t>Less than 10%</t>
  </si>
  <si>
    <t>Cash operating margin</t>
  </si>
  <si>
    <t>Earnings Before Interest Tax, Depreciation and Amortization / Revenue</t>
  </si>
  <si>
    <t>Financial statements</t>
  </si>
  <si>
    <t xml:space="preserve">Cash Reserves </t>
  </si>
  <si>
    <t>Cash on hand relative to OPEX</t>
  </si>
  <si>
    <t>Cash reserves as % of annual operating income</t>
  </si>
  <si>
    <t>Balance sheet</t>
  </si>
  <si>
    <t xml:space="preserve">Liquidity Ratio </t>
  </si>
  <si>
    <t>Current assets vs liabilities</t>
  </si>
  <si>
    <t>Cash and near cash reserves / Current Liabilities</t>
  </si>
  <si>
    <t xml:space="preserve">Debt Service Coverage Ratio </t>
  </si>
  <si>
    <t>&gt;1.8</t>
  </si>
  <si>
    <t>Ability to service debt</t>
  </si>
  <si>
    <t>Cash flow available for Debt Service / Total Debt Service (Interest + Principa Repayments)</t>
  </si>
  <si>
    <t>Loan agreements, financial statements</t>
  </si>
  <si>
    <t xml:space="preserve">Grant Dependency </t>
  </si>
  <si>
    <t>0-10%</t>
  </si>
  <si>
    <t>Share of CAPEX financed by grants</t>
  </si>
  <si>
    <t>Proportion of OPEX financed by income from grants</t>
  </si>
  <si>
    <t>CAPEX budget</t>
  </si>
  <si>
    <t xml:space="preserve">Debt/Cash Available for Debt Service </t>
  </si>
  <si>
    <t>&lt;0.9</t>
  </si>
  <si>
    <t>Debt vs liquidity for debt</t>
  </si>
  <si>
    <t>Total debt / Cash available for Debt Service</t>
  </si>
  <si>
    <t xml:space="preserve">Debt to Equity </t>
  </si>
  <si>
    <t>&gt;35%</t>
  </si>
  <si>
    <t>Leverage ratio</t>
  </si>
  <si>
    <t>Total Debt / Total Equity</t>
  </si>
  <si>
    <t xml:space="preserve">Debtor Days </t>
  </si>
  <si>
    <t>&gt;120 days</t>
  </si>
  <si>
    <t>Average days to collect bills</t>
  </si>
  <si>
    <t>Net billed amount outstanding / Total annual operatiing revenues excluding grants and transfers * 365</t>
  </si>
  <si>
    <t>Billing system, AR ledger</t>
  </si>
  <si>
    <t xml:space="preserve">Reduction in Debtor Days </t>
  </si>
  <si>
    <t>20-25%</t>
  </si>
  <si>
    <t>Year on Year % reduction</t>
  </si>
  <si>
    <t>((Debtor days in current financial year - debtor days in previous year)/ Debtor days in current financial year)) *100</t>
  </si>
  <si>
    <t>Billing + AR records</t>
  </si>
  <si>
    <t xml:space="preserve">Bad Debt Provision </t>
  </si>
  <si>
    <t>60-90 days</t>
  </si>
  <si>
    <t>Expected credit losses in days</t>
  </si>
  <si>
    <t>N of days after an invoice becomes overdue before the utility records a bad debt provision in its accounts</t>
  </si>
  <si>
    <t xml:space="preserve">Billing Efficiency </t>
  </si>
  <si>
    <t>&gt;95%</t>
  </si>
  <si>
    <t>% of consumed water billed</t>
  </si>
  <si>
    <t>% of Billed water / water produced and/or bought</t>
  </si>
  <si>
    <t>Billing + meter records</t>
  </si>
  <si>
    <t>Collection Efficiency</t>
  </si>
  <si>
    <t>90-92%</t>
  </si>
  <si>
    <t>% of billed revenue collected</t>
  </si>
  <si>
    <t>% Cash collected / billed amount</t>
  </si>
  <si>
    <t>Billing + bank records</t>
  </si>
  <si>
    <t xml:space="preserve"> Index Final Score (auto-populated from your responses above)</t>
  </si>
  <si>
    <t>Index Final Score before peer reviewers comments applied</t>
  </si>
  <si>
    <t>0-20</t>
  </si>
  <si>
    <t>&lt;20</t>
  </si>
  <si>
    <t>&lt;5</t>
  </si>
  <si>
    <t>&lt;10%</t>
  </si>
  <si>
    <t>&gt;50%</t>
  </si>
  <si>
    <t>&gt;8%</t>
  </si>
  <si>
    <t>&lt;25%</t>
  </si>
  <si>
    <t>&gt;130%</t>
  </si>
  <si>
    <t>&lt;20%</t>
  </si>
  <si>
    <t>&lt;45 days</t>
  </si>
  <si>
    <t>&lt;60 days</t>
  </si>
  <si>
    <t>20-30</t>
  </si>
  <si>
    <t>10-30%</t>
  </si>
  <si>
    <t>35-50%</t>
  </si>
  <si>
    <t>6-8%</t>
  </si>
  <si>
    <t>10-15%</t>
  </si>
  <si>
    <t>25-30%</t>
  </si>
  <si>
    <t>1.6-1.8</t>
  </si>
  <si>
    <t>0.9-1.7</t>
  </si>
  <si>
    <t>45-60 days</t>
  </si>
  <si>
    <t>93-94%</t>
  </si>
  <si>
    <t>40-60</t>
  </si>
  <si>
    <t>80-90</t>
  </si>
  <si>
    <t>30-50%</t>
  </si>
  <si>
    <t>15-20%</t>
  </si>
  <si>
    <t>30-35%</t>
  </si>
  <si>
    <t>110-120%</t>
  </si>
  <si>
    <t>1.4 - 1.6</t>
  </si>
  <si>
    <t>1.7-3.3</t>
  </si>
  <si>
    <t>90-180 days</t>
  </si>
  <si>
    <t>60-80</t>
  </si>
  <si>
    <t>40-50</t>
  </si>
  <si>
    <t>50-70%</t>
  </si>
  <si>
    <t>5-20%</t>
  </si>
  <si>
    <t>0-4%</t>
  </si>
  <si>
    <t>100-110%</t>
  </si>
  <si>
    <t>1.2-1.4</t>
  </si>
  <si>
    <t>3.3-6.3</t>
  </si>
  <si>
    <t>90-120 days</t>
  </si>
  <si>
    <t>180-365 days</t>
  </si>
  <si>
    <t>85-89%</t>
  </si>
  <si>
    <t>80-100</t>
  </si>
  <si>
    <t>&lt;70</t>
  </si>
  <si>
    <t>&gt;50</t>
  </si>
  <si>
    <t>&gt;8</t>
  </si>
  <si>
    <t>&lt;5%</t>
  </si>
  <si>
    <t>&gt;40%</t>
  </si>
  <si>
    <t>&lt;100%</t>
  </si>
  <si>
    <t>&lt;1.2</t>
  </si>
  <si>
    <t>&gt;20%</t>
  </si>
  <si>
    <t>&gt;6.3</t>
  </si>
  <si>
    <t>&gt;365 days</t>
  </si>
  <si>
    <t>&lt;85%</t>
  </si>
  <si>
    <t>Santiation &amp; Water Coverage</t>
  </si>
  <si>
    <t>Non Revenue Water</t>
  </si>
  <si>
    <t>Staff / 1000 Connection</t>
  </si>
  <si>
    <t>Revenue Diversification</t>
  </si>
  <si>
    <t>Average Tariff Differential</t>
  </si>
  <si>
    <t>Maintenance Costs / OPEX</t>
  </si>
  <si>
    <t>Electricity Costs / OPEX</t>
  </si>
  <si>
    <t>Employee Costs</t>
  </si>
  <si>
    <t>O&amp;M Coverage</t>
  </si>
  <si>
    <t>EBITDA / Revenue</t>
  </si>
  <si>
    <t>Debt Service Coverage Ratio</t>
  </si>
  <si>
    <t>Grant Dependency</t>
  </si>
  <si>
    <t>Debt/Cash Available for Debt Service</t>
  </si>
  <si>
    <t>Debt to Equity</t>
  </si>
  <si>
    <t>Debtor Days</t>
  </si>
  <si>
    <t>Bad Debt Provision</t>
  </si>
  <si>
    <t>Billing &amp; Collection Efficiency</t>
  </si>
  <si>
    <t>Liquidity Ratio</t>
  </si>
  <si>
    <t>Reduction in Debtor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</si>
</sst>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6" fontId="0" fillId="5" borderId="1" xfId="0" applyNumberForma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applyAlignment="1">
      <alignment horizontal="left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3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9" fontId="0" fillId="14" borderId="1" xfId="0" applyNumberFormat="1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0" borderId="1" xfId="0" applyFont="1" applyFill="1" applyBorder="1"/>
    <xf numFmtId="0" fontId="1" fillId="20" borderId="1" xfId="0" applyFont="1" applyFill="1" applyBorder="1" applyAlignment="1">
      <alignment horizontal="left" vertical="top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1" fillId="20" borderId="4" xfId="0" applyFont="1" applyFill="1" applyBorder="1"/>
    <xf numFmtId="0" fontId="1" fillId="20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3" fillId="0" borderId="1" xfId="1" applyBorder="1" applyAlignment="1" applyProtection="1"/>
    <xf numFmtId="0" fontId="0" fillId="21" borderId="1" xfId="0" applyFill="1" applyBorder="1"/>
    <xf numFmtId="0" fontId="0" fillId="22" borderId="1" xfId="0" applyFill="1" applyBorder="1"/>
    <xf numFmtId="0" fontId="4" fillId="0" borderId="0" xfId="0" applyFont="1"/>
    <xf numFmtId="0" fontId="4" fillId="0" borderId="0" xfId="0" applyFont="1" applyAlignment="1">
      <alignment horizontal="left" vertical="top"/>
    </xf>
    <xf numFmtId="0" fontId="0" fillId="8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52215-1A17-48DC-801B-9824263D2CF7}" name="Table1" displayName="Table1" ref="A1:B24" totalsRowShown="0" headerRowDxfId="5" headerRowBorderDxfId="4" tableBorderDxfId="3" totalsRowBorderDxfId="2">
  <autoFilter ref="A1:B24" xr:uid="{FE452215-1A17-48DC-801B-9824263D2CF7}"/>
  <sortState xmlns:xlrd2="http://schemas.microsoft.com/office/spreadsheetml/2017/richdata2" ref="A2:B24">
    <sortCondition descending="1" ref="B1:B24"/>
  </sortState>
  <tableColumns count="2">
    <tableColumn id="1" xr3:uid="{40E75D4E-D662-4A2F-833B-31EBBDE78E01}" name="Question" dataDxfId="1"/>
    <tableColumn id="2" xr3:uid="{7C081007-D9D3-46A4-92BB-146F0152D5B1}" name="We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b-net.org/" TargetMode="External"/><Relationship Id="rId3" Type="http://schemas.openxmlformats.org/officeDocument/2006/relationships/hyperlink" Target="https://ib-net.org/" TargetMode="External"/><Relationship Id="rId7" Type="http://schemas.openxmlformats.org/officeDocument/2006/relationships/hyperlink" Target="https://ib-net.org/" TargetMode="External"/><Relationship Id="rId2" Type="http://schemas.openxmlformats.org/officeDocument/2006/relationships/hyperlink" Target="https://washdata.org/" TargetMode="External"/><Relationship Id="rId1" Type="http://schemas.openxmlformats.org/officeDocument/2006/relationships/hyperlink" Target="https://povertydata.worldbank.org/" TargetMode="External"/><Relationship Id="rId6" Type="http://schemas.openxmlformats.org/officeDocument/2006/relationships/hyperlink" Target="https://ib-net.org/" TargetMode="External"/><Relationship Id="rId5" Type="http://schemas.openxmlformats.org/officeDocument/2006/relationships/hyperlink" Target="https://ib-net.org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iwa-network.org/" TargetMode="External"/><Relationship Id="rId9" Type="http://schemas.openxmlformats.org/officeDocument/2006/relationships/hyperlink" Target="https://ib-net.org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b-net.org/" TargetMode="External"/><Relationship Id="rId3" Type="http://schemas.openxmlformats.org/officeDocument/2006/relationships/hyperlink" Target="https://ib-net.org/" TargetMode="External"/><Relationship Id="rId7" Type="http://schemas.openxmlformats.org/officeDocument/2006/relationships/hyperlink" Target="https://ib-net.org/" TargetMode="External"/><Relationship Id="rId2" Type="http://schemas.openxmlformats.org/officeDocument/2006/relationships/hyperlink" Target="https://washdata.org/" TargetMode="External"/><Relationship Id="rId1" Type="http://schemas.openxmlformats.org/officeDocument/2006/relationships/hyperlink" Target="https://povertydata.worldbank.org/" TargetMode="External"/><Relationship Id="rId6" Type="http://schemas.openxmlformats.org/officeDocument/2006/relationships/hyperlink" Target="https://ib-net.org/" TargetMode="External"/><Relationship Id="rId5" Type="http://schemas.openxmlformats.org/officeDocument/2006/relationships/hyperlink" Target="https://ib-net.org/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iwa-network.org/" TargetMode="External"/><Relationship Id="rId9" Type="http://schemas.openxmlformats.org/officeDocument/2006/relationships/hyperlink" Target="https://ib-net.org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D66A-EB1F-4060-AA10-43E2A36E32F2}">
  <dimension ref="A1:I27"/>
  <sheetViews>
    <sheetView tabSelected="1" zoomScale="140" zoomScaleNormal="140" workbookViewId="0">
      <selection activeCell="A4" sqref="A4"/>
    </sheetView>
  </sheetViews>
  <sheetFormatPr defaultRowHeight="14.25" x14ac:dyDescent="0.45"/>
  <cols>
    <col min="1" max="1" width="51.265625" bestFit="1" customWidth="1"/>
    <col min="2" max="2" width="21.73046875" style="27" customWidth="1"/>
    <col min="6" max="6" width="45.59765625" customWidth="1"/>
    <col min="7" max="7" width="91.1328125" customWidth="1"/>
    <col min="8" max="8" width="36" customWidth="1"/>
    <col min="9" max="9" width="28.73046875" customWidth="1"/>
  </cols>
  <sheetData>
    <row r="1" spans="1:9" x14ac:dyDescent="0.45">
      <c r="A1" s="29" t="s">
        <v>0</v>
      </c>
      <c r="B1" s="30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</row>
    <row r="2" spans="1:9" x14ac:dyDescent="0.45">
      <c r="A2" s="7" t="s">
        <v>9</v>
      </c>
      <c r="B2" s="28" t="s">
        <v>10</v>
      </c>
      <c r="C2" s="7">
        <f>(VLOOKUP(B2, 'Values for indicators'!A:B, 2, FALSE)*D2)</f>
        <v>9</v>
      </c>
      <c r="D2" s="7">
        <v>3</v>
      </c>
      <c r="E2" s="7">
        <f>(4*D2)</f>
        <v>12</v>
      </c>
      <c r="F2" s="38" t="s">
        <v>11</v>
      </c>
      <c r="G2" s="7" t="s">
        <v>12</v>
      </c>
      <c r="H2" s="7" t="s">
        <v>13</v>
      </c>
      <c r="I2" s="39" t="s">
        <v>14</v>
      </c>
    </row>
    <row r="3" spans="1:9" x14ac:dyDescent="0.45">
      <c r="A3" s="7" t="s">
        <v>15</v>
      </c>
      <c r="B3" s="28" t="s">
        <v>16</v>
      </c>
      <c r="C3" s="7">
        <f>(VLOOKUP(B3, 'Values for indicators'!D:E, 2, FALSE)*D3)</f>
        <v>3</v>
      </c>
      <c r="D3" s="7">
        <v>1</v>
      </c>
      <c r="E3" s="7">
        <f t="shared" ref="E3:E24" si="0">(4*D3)</f>
        <v>4</v>
      </c>
      <c r="F3" s="7" t="s">
        <v>17</v>
      </c>
      <c r="G3" s="7" t="s">
        <v>18</v>
      </c>
      <c r="H3" s="7" t="s">
        <v>19</v>
      </c>
      <c r="I3" s="39" t="s">
        <v>20</v>
      </c>
    </row>
    <row r="4" spans="1:9" x14ac:dyDescent="0.45">
      <c r="A4" s="7" t="s">
        <v>21</v>
      </c>
      <c r="B4" s="28" t="s">
        <v>22</v>
      </c>
      <c r="C4" s="7">
        <f>(VLOOKUP(B4, 'Values for indicators'!D:E, 2, FALSE)*D4)</f>
        <v>1</v>
      </c>
      <c r="D4" s="7">
        <v>1</v>
      </c>
      <c r="E4" s="7">
        <f t="shared" si="0"/>
        <v>4</v>
      </c>
      <c r="F4" s="7" t="s">
        <v>23</v>
      </c>
      <c r="G4" s="7" t="s">
        <v>24</v>
      </c>
      <c r="H4" s="7" t="s">
        <v>25</v>
      </c>
      <c r="I4" s="39" t="s">
        <v>26</v>
      </c>
    </row>
    <row r="5" spans="1:9" x14ac:dyDescent="0.45">
      <c r="A5" s="7" t="s">
        <v>27</v>
      </c>
      <c r="B5" s="28" t="s">
        <v>28</v>
      </c>
      <c r="C5" s="7">
        <f>(VLOOKUP(B5, 'Values for indicators'!G:H, 2, FALSE)*D5)</f>
        <v>10</v>
      </c>
      <c r="D5" s="7">
        <v>5</v>
      </c>
      <c r="E5" s="7">
        <f t="shared" si="0"/>
        <v>20</v>
      </c>
      <c r="F5" s="7" t="s">
        <v>29</v>
      </c>
      <c r="G5" s="7" t="s">
        <v>30</v>
      </c>
      <c r="H5" s="7" t="s">
        <v>31</v>
      </c>
      <c r="I5" s="39" t="s">
        <v>32</v>
      </c>
    </row>
    <row r="6" spans="1:9" x14ac:dyDescent="0.45">
      <c r="A6" s="7" t="s">
        <v>33</v>
      </c>
      <c r="B6" s="28">
        <v>7</v>
      </c>
      <c r="C6" s="7">
        <f>(VLOOKUP(B6, 'Values for indicators'!J:K, 2, FALSE)*D6)</f>
        <v>6</v>
      </c>
      <c r="D6" s="7">
        <v>3</v>
      </c>
      <c r="E6" s="7">
        <f t="shared" si="0"/>
        <v>12</v>
      </c>
      <c r="F6" s="7" t="s">
        <v>34</v>
      </c>
      <c r="G6" s="7" t="s">
        <v>35</v>
      </c>
      <c r="H6" s="7" t="s">
        <v>36</v>
      </c>
      <c r="I6" s="39" t="s">
        <v>26</v>
      </c>
    </row>
    <row r="7" spans="1:9" x14ac:dyDescent="0.45">
      <c r="A7" s="40" t="s">
        <v>37</v>
      </c>
      <c r="B7" s="28" t="s">
        <v>38</v>
      </c>
      <c r="C7" s="7">
        <f>(VLOOKUP(B7, 'Values for indicators'!M:N, 2, FALSE)*D7)</f>
        <v>0</v>
      </c>
      <c r="D7" s="40">
        <v>5</v>
      </c>
      <c r="E7" s="7">
        <f t="shared" si="0"/>
        <v>20</v>
      </c>
      <c r="F7" s="7" t="s">
        <v>39</v>
      </c>
      <c r="G7" s="7" t="s">
        <v>40</v>
      </c>
      <c r="H7" s="7" t="s">
        <v>41</v>
      </c>
      <c r="I7" s="7"/>
    </row>
    <row r="8" spans="1:9" x14ac:dyDescent="0.45">
      <c r="A8" s="40" t="s">
        <v>42</v>
      </c>
      <c r="B8" s="28" t="s">
        <v>43</v>
      </c>
      <c r="C8" s="7">
        <f>(VLOOKUP(B8, 'Values for indicators'!P:Q, 2, FALSE)*D8)</f>
        <v>14</v>
      </c>
      <c r="D8" s="40">
        <v>7</v>
      </c>
      <c r="E8" s="7">
        <f t="shared" si="0"/>
        <v>28</v>
      </c>
      <c r="F8" s="7" t="s">
        <v>44</v>
      </c>
      <c r="G8" s="7" t="s">
        <v>45</v>
      </c>
      <c r="H8" s="7" t="s">
        <v>46</v>
      </c>
      <c r="I8" s="7"/>
    </row>
    <row r="9" spans="1:9" x14ac:dyDescent="0.45">
      <c r="A9" s="7" t="s">
        <v>47</v>
      </c>
      <c r="B9" s="28" t="s">
        <v>48</v>
      </c>
      <c r="C9" s="7">
        <f>(VLOOKUP(B9, 'Values for indicators'!S:T, 2, FALSE)*D9)</f>
        <v>6</v>
      </c>
      <c r="D9" s="7">
        <v>3</v>
      </c>
      <c r="E9" s="7">
        <f t="shared" si="0"/>
        <v>12</v>
      </c>
      <c r="F9" s="7" t="s">
        <v>49</v>
      </c>
      <c r="G9" s="7" t="s">
        <v>50</v>
      </c>
      <c r="H9" s="7" t="s">
        <v>51</v>
      </c>
      <c r="I9" s="7"/>
    </row>
    <row r="10" spans="1:9" x14ac:dyDescent="0.45">
      <c r="A10" s="7" t="s">
        <v>52</v>
      </c>
      <c r="B10" s="28" t="s">
        <v>53</v>
      </c>
      <c r="C10" s="7">
        <f>(VLOOKUP(B10, 'Values for indicators'!V:W, 2, FALSE)*D10)</f>
        <v>0</v>
      </c>
      <c r="D10" s="7">
        <v>2</v>
      </c>
      <c r="E10" s="7">
        <f t="shared" si="0"/>
        <v>8</v>
      </c>
      <c r="F10" s="7" t="s">
        <v>54</v>
      </c>
      <c r="G10" s="7" t="s">
        <v>55</v>
      </c>
      <c r="H10" s="7" t="s">
        <v>56</v>
      </c>
      <c r="I10" s="7"/>
    </row>
    <row r="11" spans="1:9" x14ac:dyDescent="0.45">
      <c r="A11" s="7" t="s">
        <v>57</v>
      </c>
      <c r="B11" s="28" t="s">
        <v>58</v>
      </c>
      <c r="C11" s="7">
        <f>(VLOOKUP(B11, 'Values for indicators'!Y:Z, 2, FALSE)*D11)</f>
        <v>2</v>
      </c>
      <c r="D11" s="7">
        <v>2</v>
      </c>
      <c r="E11" s="7">
        <f t="shared" si="0"/>
        <v>8</v>
      </c>
      <c r="F11" s="7" t="s">
        <v>59</v>
      </c>
      <c r="G11" s="7" t="s">
        <v>60</v>
      </c>
      <c r="H11" s="7" t="s">
        <v>41</v>
      </c>
      <c r="I11" s="7"/>
    </row>
    <row r="12" spans="1:9" x14ac:dyDescent="0.45">
      <c r="A12" s="7" t="s">
        <v>61</v>
      </c>
      <c r="B12" s="28" t="s">
        <v>62</v>
      </c>
      <c r="C12" s="7">
        <f>(VLOOKUP(B12, 'Values for indicators'!AB:AC, 2, FALSE)*D12)</f>
        <v>12</v>
      </c>
      <c r="D12" s="7">
        <v>4</v>
      </c>
      <c r="E12" s="7">
        <f t="shared" si="0"/>
        <v>16</v>
      </c>
      <c r="F12" s="7" t="s">
        <v>63</v>
      </c>
      <c r="G12" s="7" t="s">
        <v>64</v>
      </c>
      <c r="H12" s="7" t="s">
        <v>41</v>
      </c>
      <c r="I12" s="39" t="s">
        <v>26</v>
      </c>
    </row>
    <row r="13" spans="1:9" x14ac:dyDescent="0.45">
      <c r="A13" s="7" t="s">
        <v>65</v>
      </c>
      <c r="B13" s="28" t="s">
        <v>66</v>
      </c>
      <c r="C13" s="7">
        <f>(VLOOKUP(B13, 'Values for indicators'!AE:AF, 2, FALSE)*D13)</f>
        <v>0</v>
      </c>
      <c r="D13" s="7">
        <v>5</v>
      </c>
      <c r="E13" s="7">
        <f t="shared" si="0"/>
        <v>20</v>
      </c>
      <c r="F13" s="7" t="s">
        <v>67</v>
      </c>
      <c r="G13" s="7" t="s">
        <v>68</v>
      </c>
      <c r="H13" s="7" t="s">
        <v>69</v>
      </c>
      <c r="I13" s="7"/>
    </row>
    <row r="14" spans="1:9" x14ac:dyDescent="0.45">
      <c r="A14" s="40" t="s">
        <v>70</v>
      </c>
      <c r="B14" s="28" t="s">
        <v>66</v>
      </c>
      <c r="C14" s="7">
        <f>(VLOOKUP(B14, 'Values for indicators'!AE:AF, 2, FALSE)*D14)</f>
        <v>0</v>
      </c>
      <c r="D14" s="40">
        <v>4</v>
      </c>
      <c r="E14" s="7">
        <f t="shared" si="0"/>
        <v>16</v>
      </c>
      <c r="F14" s="7" t="s">
        <v>71</v>
      </c>
      <c r="G14" s="7" t="s">
        <v>72</v>
      </c>
      <c r="H14" s="7" t="s">
        <v>73</v>
      </c>
      <c r="I14" s="7"/>
    </row>
    <row r="15" spans="1:9" x14ac:dyDescent="0.45">
      <c r="A15" s="40" t="s">
        <v>74</v>
      </c>
      <c r="B15" s="28" t="s">
        <v>66</v>
      </c>
      <c r="C15" s="7">
        <f>(VLOOKUP(B15, 'Values for indicators'!AE:AF, 2, FALSE)*D15)</f>
        <v>0</v>
      </c>
      <c r="D15" s="40">
        <v>6</v>
      </c>
      <c r="E15" s="7">
        <f t="shared" si="0"/>
        <v>24</v>
      </c>
      <c r="F15" s="7" t="s">
        <v>75</v>
      </c>
      <c r="G15" s="7" t="s">
        <v>76</v>
      </c>
      <c r="H15" s="7" t="s">
        <v>73</v>
      </c>
      <c r="I15" s="7"/>
    </row>
    <row r="16" spans="1:9" x14ac:dyDescent="0.45">
      <c r="A16" s="40" t="s">
        <v>77</v>
      </c>
      <c r="B16" s="28" t="s">
        <v>78</v>
      </c>
      <c r="C16" s="7">
        <f>(VLOOKUP(B16, 'Values for indicators'!AH:AI, 2, FALSE)*D16)</f>
        <v>28</v>
      </c>
      <c r="D16" s="40">
        <v>7</v>
      </c>
      <c r="E16" s="7">
        <f t="shared" si="0"/>
        <v>28</v>
      </c>
      <c r="F16" s="7" t="s">
        <v>79</v>
      </c>
      <c r="G16" s="7" t="s">
        <v>80</v>
      </c>
      <c r="H16" s="7" t="s">
        <v>81</v>
      </c>
      <c r="I16" s="7"/>
    </row>
    <row r="17" spans="1:9" x14ac:dyDescent="0.45">
      <c r="A17" s="7" t="s">
        <v>82</v>
      </c>
      <c r="B17" s="28" t="s">
        <v>83</v>
      </c>
      <c r="C17" s="7">
        <f>(VLOOKUP(B17, 'Values for indicators'!AK:AL, 2, FALSE)*D17)</f>
        <v>9</v>
      </c>
      <c r="D17" s="7">
        <v>3</v>
      </c>
      <c r="E17" s="7">
        <f t="shared" si="0"/>
        <v>12</v>
      </c>
      <c r="F17" s="7" t="s">
        <v>84</v>
      </c>
      <c r="G17" s="7" t="s">
        <v>85</v>
      </c>
      <c r="H17" s="7" t="s">
        <v>86</v>
      </c>
      <c r="I17" s="7"/>
    </row>
    <row r="18" spans="1:9" x14ac:dyDescent="0.45">
      <c r="A18" s="40" t="s">
        <v>87</v>
      </c>
      <c r="B18" s="28" t="s">
        <v>88</v>
      </c>
      <c r="C18" s="7">
        <f>(VLOOKUP(B18, 'Values for indicators'!AN:AO, 2, FALSE)*D18)</f>
        <v>36</v>
      </c>
      <c r="D18" s="40">
        <v>9</v>
      </c>
      <c r="E18" s="7">
        <f t="shared" si="0"/>
        <v>36</v>
      </c>
      <c r="F18" s="7" t="s">
        <v>89</v>
      </c>
      <c r="G18" s="7" t="s">
        <v>90</v>
      </c>
      <c r="H18" s="7" t="s">
        <v>73</v>
      </c>
      <c r="I18" s="7"/>
    </row>
    <row r="19" spans="1:9" x14ac:dyDescent="0.45">
      <c r="A19" s="7" t="s">
        <v>91</v>
      </c>
      <c r="B19" s="28" t="s">
        <v>92</v>
      </c>
      <c r="C19" s="7">
        <f>(VLOOKUP(B19, 'Values for indicators'!AQ:AR, 2, FALSE)*D19)</f>
        <v>0</v>
      </c>
      <c r="D19" s="7">
        <v>5</v>
      </c>
      <c r="E19" s="7">
        <f t="shared" si="0"/>
        <v>20</v>
      </c>
      <c r="F19" s="7" t="s">
        <v>93</v>
      </c>
      <c r="G19" s="7" t="s">
        <v>94</v>
      </c>
      <c r="H19" s="7" t="s">
        <v>73</v>
      </c>
      <c r="I19" s="7"/>
    </row>
    <row r="20" spans="1:9" x14ac:dyDescent="0.45">
      <c r="A20" s="7" t="s">
        <v>95</v>
      </c>
      <c r="B20" s="28" t="s">
        <v>96</v>
      </c>
      <c r="C20" s="7">
        <f>(VLOOKUP(B20, 'Values for indicators'!AT:AU, 2, FALSE)*D20)</f>
        <v>0</v>
      </c>
      <c r="D20" s="7">
        <v>5</v>
      </c>
      <c r="E20" s="7">
        <f t="shared" si="0"/>
        <v>20</v>
      </c>
      <c r="F20" s="7" t="s">
        <v>97</v>
      </c>
      <c r="G20" s="7" t="s">
        <v>98</v>
      </c>
      <c r="H20" s="7" t="s">
        <v>99</v>
      </c>
      <c r="I20" s="39" t="s">
        <v>26</v>
      </c>
    </row>
    <row r="21" spans="1:9" x14ac:dyDescent="0.45">
      <c r="A21" s="7" t="s">
        <v>100</v>
      </c>
      <c r="B21" s="28" t="s">
        <v>101</v>
      </c>
      <c r="C21" s="7">
        <f>(VLOOKUP(B21, 'Values for indicators'!AE:AF, 2, FALSE)*D21)</f>
        <v>15</v>
      </c>
      <c r="D21" s="7">
        <v>5</v>
      </c>
      <c r="E21" s="7">
        <f t="shared" si="0"/>
        <v>20</v>
      </c>
      <c r="F21" s="7" t="s">
        <v>102</v>
      </c>
      <c r="G21" s="7" t="s">
        <v>103</v>
      </c>
      <c r="H21" s="7" t="s">
        <v>104</v>
      </c>
      <c r="I21" s="7"/>
    </row>
    <row r="22" spans="1:9" x14ac:dyDescent="0.45">
      <c r="A22" s="7" t="s">
        <v>105</v>
      </c>
      <c r="B22" s="28" t="s">
        <v>106</v>
      </c>
      <c r="C22" s="7">
        <f>(VLOOKUP(B22, 'Values for indicators'!AW:AX, 2, FALSE)*D22)</f>
        <v>15</v>
      </c>
      <c r="D22" s="7">
        <v>5</v>
      </c>
      <c r="E22" s="7">
        <f t="shared" si="0"/>
        <v>20</v>
      </c>
      <c r="F22" s="7" t="s">
        <v>107</v>
      </c>
      <c r="G22" s="40" t="s">
        <v>108</v>
      </c>
      <c r="H22" s="7" t="s">
        <v>69</v>
      </c>
      <c r="I22" s="7"/>
    </row>
    <row r="23" spans="1:9" x14ac:dyDescent="0.45">
      <c r="A23" s="7" t="s">
        <v>109</v>
      </c>
      <c r="B23" s="28" t="s">
        <v>110</v>
      </c>
      <c r="C23" s="7">
        <f>(VLOOKUP(B23, 'Values for indicators'!AZ:BA, 2, FALSE)*D23)</f>
        <v>20</v>
      </c>
      <c r="D23" s="7">
        <v>5</v>
      </c>
      <c r="E23" s="7">
        <f t="shared" si="0"/>
        <v>20</v>
      </c>
      <c r="F23" s="7" t="s">
        <v>111</v>
      </c>
      <c r="G23" s="7" t="s">
        <v>112</v>
      </c>
      <c r="H23" s="7" t="s">
        <v>113</v>
      </c>
      <c r="I23" s="39" t="s">
        <v>26</v>
      </c>
    </row>
    <row r="24" spans="1:9" x14ac:dyDescent="0.45">
      <c r="A24" s="7" t="s">
        <v>114</v>
      </c>
      <c r="B24" s="28" t="s">
        <v>115</v>
      </c>
      <c r="C24" s="7">
        <f>(VLOOKUP(B24, 'Values for indicators'!AZ:BA, 2, FALSE)*D24)</f>
        <v>10</v>
      </c>
      <c r="D24" s="7">
        <v>5</v>
      </c>
      <c r="E24" s="7">
        <f t="shared" si="0"/>
        <v>20</v>
      </c>
      <c r="F24" s="7" t="s">
        <v>116</v>
      </c>
      <c r="G24" s="7" t="s">
        <v>117</v>
      </c>
      <c r="H24" s="7" t="s">
        <v>118</v>
      </c>
      <c r="I24" s="39" t="s">
        <v>26</v>
      </c>
    </row>
    <row r="25" spans="1:9" x14ac:dyDescent="0.45">
      <c r="A25" s="31" t="s">
        <v>119</v>
      </c>
      <c r="B25" s="28"/>
      <c r="C25" s="40">
        <f>((SUM(C2:C24) / E25) * 100)</f>
        <v>49</v>
      </c>
      <c r="D25" s="7">
        <f>SUM(D2:D24)</f>
        <v>100</v>
      </c>
      <c r="E25" s="7">
        <f>SUM(E2:E24)</f>
        <v>400</v>
      </c>
      <c r="F25" s="7"/>
      <c r="G25" s="7"/>
      <c r="H25" s="7"/>
      <c r="I25" s="7"/>
    </row>
    <row r="27" spans="1:9" x14ac:dyDescent="0.45">
      <c r="A27" s="42" t="s">
        <v>120</v>
      </c>
      <c r="B27" s="43"/>
      <c r="C27" s="42">
        <v>48.5</v>
      </c>
    </row>
  </sheetData>
  <dataValidations count="18">
    <dataValidation type="list" allowBlank="1" showInputMessage="1" showErrorMessage="1" sqref="B2" xr:uid="{39A9FA3E-89B0-4E6F-9440-C07B27AF724D}">
      <formula1>"0-20,20-40,40-60,60-80,80-100"</formula1>
    </dataValidation>
    <dataValidation type="list" allowBlank="1" showInputMessage="1" showErrorMessage="1" sqref="B3:B4" xr:uid="{CED7A11C-DB62-4C05-BE38-ECEB4A2B041D}">
      <formula1>SanitationCoverage</formula1>
    </dataValidation>
    <dataValidation type="list" allowBlank="1" showInputMessage="1" showErrorMessage="1" sqref="B5" xr:uid="{35654FF7-FFD0-4561-A43E-5FD99FD4A0FF}">
      <formula1>NonRevenue</formula1>
    </dataValidation>
    <dataValidation type="list" allowBlank="1" showInputMessage="1" showErrorMessage="1" sqref="B6" xr:uid="{34E99E3F-F6F2-49DB-B9EF-471A83EBA287}">
      <formula1>StaffConnections</formula1>
    </dataValidation>
    <dataValidation type="list" allowBlank="1" showInputMessage="1" showErrorMessage="1" sqref="B7" xr:uid="{0A7B0EED-569D-44D0-BD1C-5495BB377F51}">
      <formula1>RevenueDiversification</formula1>
    </dataValidation>
    <dataValidation type="list" allowBlank="1" showInputMessage="1" showErrorMessage="1" sqref="B8" xr:uid="{CCCACAE4-D13B-4CB8-92F0-836B25C741F8}">
      <formula1>AverageTarrifDifferential</formula1>
    </dataValidation>
    <dataValidation type="list" allowBlank="1" showInputMessage="1" showErrorMessage="1" sqref="B9" xr:uid="{D1693161-C21C-4E26-A485-1D7E9C64BB41}">
      <formula1>MaintenanceCosts</formula1>
    </dataValidation>
    <dataValidation type="list" allowBlank="1" showInputMessage="1" showErrorMessage="1" sqref="B10" xr:uid="{D3175B45-0993-4032-AF75-72C6FF7B2C26}">
      <formula1>ElectricityCosts</formula1>
    </dataValidation>
    <dataValidation type="list" allowBlank="1" showInputMessage="1" showErrorMessage="1" sqref="B11" xr:uid="{6B5527DF-5C06-4B4A-B3CD-3F405E700677}">
      <formula1>EmployeeCosts</formula1>
    </dataValidation>
    <dataValidation type="list" allowBlank="1" showInputMessage="1" showErrorMessage="1" sqref="B12" xr:uid="{FF03AE6A-B47B-4DB2-9D78-E09D9B7118C5}">
      <formula1>OMCoverage</formula1>
    </dataValidation>
    <dataValidation type="list" allowBlank="1" showInputMessage="1" showErrorMessage="1" sqref="B13:B15 B21" xr:uid="{2E32FB02-8007-4466-94CB-7247A1A4E68E}">
      <formula1>Percent25_10</formula1>
    </dataValidation>
    <dataValidation type="list" allowBlank="1" showInputMessage="1" showErrorMessage="1" sqref="B16" xr:uid="{41428984-CA49-4770-AAE3-5D04D9B41324}">
      <formula1>DebtServiceCoverage</formula1>
    </dataValidation>
    <dataValidation type="list" allowBlank="1" showInputMessage="1" showErrorMessage="1" sqref="B17" xr:uid="{EF6942FA-7124-438C-8EFC-BFB4E12B0F37}">
      <formula1>GrantDependency</formula1>
    </dataValidation>
    <dataValidation type="list" allowBlank="1" showInputMessage="1" showErrorMessage="1" sqref="B18" xr:uid="{CC574C58-DB3D-4228-90DF-5DAD10978E81}">
      <formula1>DebtCashAvailable</formula1>
    </dataValidation>
    <dataValidation type="list" allowBlank="1" showInputMessage="1" showErrorMessage="1" sqref="B19" xr:uid="{5DC68D10-CC82-43E4-948F-97C063BFD61F}">
      <formula1>DebtToEquity</formula1>
    </dataValidation>
    <dataValidation type="list" allowBlank="1" showInputMessage="1" showErrorMessage="1" sqref="B20" xr:uid="{C9F7DF54-D857-4E2C-BDAA-565DC12D865F}">
      <formula1>DebtorDays</formula1>
    </dataValidation>
    <dataValidation type="list" allowBlank="1" showInputMessage="1" showErrorMessage="1" sqref="B22" xr:uid="{F26E7814-754D-4E96-B434-F30948B0EDFD}">
      <formula1>BadDebtProvision</formula1>
    </dataValidation>
    <dataValidation type="list" allowBlank="1" showInputMessage="1" showErrorMessage="1" sqref="B23:B24" xr:uid="{910BA79B-4D30-4330-8F41-D1EA81FF604E}">
      <formula1>BCEfficiency</formula1>
    </dataValidation>
  </dataValidations>
  <hyperlinks>
    <hyperlink ref="I2" r:id="rId1" xr:uid="{CBDEE00E-4E8C-4A23-8350-BBCF0931E5D2}"/>
    <hyperlink ref="I3" r:id="rId2" xr:uid="{74764E1F-EE61-422C-9172-534830F311CD}"/>
    <hyperlink ref="I4" r:id="rId3" xr:uid="{79F31261-3398-4033-9100-92F43417FFB4}"/>
    <hyperlink ref="I5" r:id="rId4" xr:uid="{C6E5DCF4-6FD7-4314-987A-A8ABBEB66920}"/>
    <hyperlink ref="I6" r:id="rId5" xr:uid="{11F8FC74-D7BD-444C-8CF3-778835E0F276}"/>
    <hyperlink ref="I12" r:id="rId6" xr:uid="{B904BB73-20C5-41A7-9650-9185F47FCEA2}"/>
    <hyperlink ref="I20" r:id="rId7" xr:uid="{79C2C19F-5637-4AF6-A607-6391D60DF288}"/>
    <hyperlink ref="I23" r:id="rId8" xr:uid="{8BB6041F-ED7F-4601-A1AA-BB1CD665A49E}"/>
    <hyperlink ref="I24" r:id="rId9" xr:uid="{2A562BAC-D115-4E50-821A-FCC18EA237F4}"/>
  </hyperlinks>
  <pageMargins left="0.7" right="0.7" top="0.75" bottom="0.75" header="0.3" footer="0.3"/>
  <pageSetup orientation="portrait" r:id="rId10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502B-42E4-4427-9014-7EF962697F67}">
  <dimension ref="A1:I24"/>
  <sheetViews>
    <sheetView zoomScale="71" workbookViewId="0">
      <selection activeCell="E2" sqref="E2"/>
    </sheetView>
  </sheetViews>
  <sheetFormatPr defaultRowHeight="14.25" x14ac:dyDescent="0.45"/>
  <cols>
    <col min="1" max="1" width="51.265625" bestFit="1" customWidth="1"/>
    <col min="2" max="2" width="21.73046875" style="27" customWidth="1"/>
    <col min="4" max="4" width="18.3984375" customWidth="1"/>
    <col min="5" max="5" width="12.59765625" customWidth="1"/>
    <col min="6" max="6" width="45.59765625" customWidth="1"/>
    <col min="7" max="7" width="91.1328125" customWidth="1"/>
    <col min="8" max="8" width="36" customWidth="1"/>
    <col min="9" max="9" width="28.73046875" customWidth="1"/>
  </cols>
  <sheetData>
    <row r="1" spans="1:9" x14ac:dyDescent="0.45">
      <c r="A1" s="29" t="s">
        <v>0</v>
      </c>
      <c r="B1" s="30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</row>
    <row r="2" spans="1:9" x14ac:dyDescent="0.45">
      <c r="A2" s="7" t="s">
        <v>9</v>
      </c>
      <c r="B2" s="28" t="s">
        <v>10</v>
      </c>
      <c r="C2" s="7">
        <f>(VLOOKUP(B2, 'Values for indicators'!A:B, 2, FALSE)*D2)</f>
        <v>9</v>
      </c>
      <c r="D2" s="7">
        <v>3</v>
      </c>
      <c r="E2" s="7">
        <f>(4*D2)</f>
        <v>12</v>
      </c>
      <c r="F2" s="38" t="s">
        <v>11</v>
      </c>
      <c r="G2" s="7" t="s">
        <v>12</v>
      </c>
      <c r="H2" s="7" t="s">
        <v>13</v>
      </c>
      <c r="I2" s="39" t="s">
        <v>14</v>
      </c>
    </row>
    <row r="3" spans="1:9" x14ac:dyDescent="0.45">
      <c r="A3" s="7" t="s">
        <v>15</v>
      </c>
      <c r="B3" s="28" t="s">
        <v>16</v>
      </c>
      <c r="C3" s="7">
        <f>(VLOOKUP(B3, 'Values for indicators'!D:E, 2, FALSE)*D3)</f>
        <v>3</v>
      </c>
      <c r="D3" s="7">
        <v>1</v>
      </c>
      <c r="E3" s="7">
        <f t="shared" ref="E3:E21" si="0">(4*D3)</f>
        <v>4</v>
      </c>
      <c r="F3" s="7" t="s">
        <v>17</v>
      </c>
      <c r="G3" s="7" t="s">
        <v>18</v>
      </c>
      <c r="H3" s="7" t="s">
        <v>19</v>
      </c>
      <c r="I3" s="39" t="s">
        <v>20</v>
      </c>
    </row>
    <row r="4" spans="1:9" x14ac:dyDescent="0.45">
      <c r="A4" s="7" t="s">
        <v>21</v>
      </c>
      <c r="B4" s="28" t="s">
        <v>22</v>
      </c>
      <c r="C4" s="7">
        <f>(VLOOKUP(B4, 'Values for indicators'!D:E, 2, FALSE)*D4)</f>
        <v>1</v>
      </c>
      <c r="D4" s="7">
        <v>1</v>
      </c>
      <c r="E4" s="7">
        <f t="shared" si="0"/>
        <v>4</v>
      </c>
      <c r="F4" s="7" t="s">
        <v>23</v>
      </c>
      <c r="G4" s="7" t="s">
        <v>24</v>
      </c>
      <c r="H4" s="7" t="s">
        <v>25</v>
      </c>
      <c r="I4" s="39" t="s">
        <v>26</v>
      </c>
    </row>
    <row r="5" spans="1:9" x14ac:dyDescent="0.45">
      <c r="A5" s="7" t="s">
        <v>27</v>
      </c>
      <c r="B5" s="28" t="s">
        <v>28</v>
      </c>
      <c r="C5" s="7">
        <f>(VLOOKUP(B5, 'Values for indicators'!G:H, 2, FALSE)*D5)</f>
        <v>10</v>
      </c>
      <c r="D5" s="7">
        <v>5</v>
      </c>
      <c r="E5" s="7">
        <f t="shared" si="0"/>
        <v>20</v>
      </c>
      <c r="F5" s="7" t="s">
        <v>29</v>
      </c>
      <c r="G5" s="7" t="s">
        <v>30</v>
      </c>
      <c r="H5" s="7" t="s">
        <v>31</v>
      </c>
      <c r="I5" s="39" t="s">
        <v>32</v>
      </c>
    </row>
    <row r="6" spans="1:9" x14ac:dyDescent="0.45">
      <c r="A6" s="7" t="s">
        <v>33</v>
      </c>
      <c r="B6" s="28">
        <v>7</v>
      </c>
      <c r="C6" s="7">
        <f>(VLOOKUP(B6, 'Values for indicators'!J:K, 2, FALSE)*D6)</f>
        <v>6</v>
      </c>
      <c r="D6" s="7">
        <v>3</v>
      </c>
      <c r="E6" s="7">
        <f t="shared" si="0"/>
        <v>12</v>
      </c>
      <c r="F6" s="7" t="s">
        <v>34</v>
      </c>
      <c r="G6" s="7" t="s">
        <v>35</v>
      </c>
      <c r="H6" s="7" t="s">
        <v>36</v>
      </c>
      <c r="I6" s="39" t="s">
        <v>26</v>
      </c>
    </row>
    <row r="7" spans="1:9" x14ac:dyDescent="0.45">
      <c r="A7" s="40" t="s">
        <v>37</v>
      </c>
      <c r="B7" s="28" t="s">
        <v>38</v>
      </c>
      <c r="C7" s="7">
        <f>(VLOOKUP(B7, 'Values for indicators'!M:N, 2, FALSE)*D7)</f>
        <v>0</v>
      </c>
      <c r="D7" s="40">
        <v>5</v>
      </c>
      <c r="E7" s="7">
        <f t="shared" si="0"/>
        <v>20</v>
      </c>
      <c r="F7" s="7" t="s">
        <v>39</v>
      </c>
      <c r="G7" s="7" t="s">
        <v>40</v>
      </c>
      <c r="H7" s="7" t="s">
        <v>41</v>
      </c>
      <c r="I7" s="7"/>
    </row>
    <row r="8" spans="1:9" x14ac:dyDescent="0.45">
      <c r="A8" s="40" t="s">
        <v>42</v>
      </c>
      <c r="B8" s="28" t="s">
        <v>43</v>
      </c>
      <c r="C8" s="7">
        <f>(VLOOKUP(B8, 'Values for indicators'!P:Q, 2, FALSE)*D8)</f>
        <v>14</v>
      </c>
      <c r="D8" s="40">
        <v>7</v>
      </c>
      <c r="E8" s="7">
        <f t="shared" si="0"/>
        <v>28</v>
      </c>
      <c r="F8" s="7" t="s">
        <v>44</v>
      </c>
      <c r="G8" s="7" t="s">
        <v>45</v>
      </c>
      <c r="H8" s="7" t="s">
        <v>46</v>
      </c>
      <c r="I8" s="7"/>
    </row>
    <row r="9" spans="1:9" x14ac:dyDescent="0.45">
      <c r="A9" s="41" t="s">
        <v>61</v>
      </c>
      <c r="B9" s="28" t="s">
        <v>62</v>
      </c>
      <c r="C9" s="7">
        <f>(VLOOKUP(B9, 'Values for indicators'!AB:AC, 2, FALSE)*D9)</f>
        <v>33</v>
      </c>
      <c r="D9" s="41">
        <v>11</v>
      </c>
      <c r="E9" s="7">
        <f t="shared" si="0"/>
        <v>44</v>
      </c>
      <c r="F9" s="7" t="s">
        <v>63</v>
      </c>
      <c r="G9" s="7" t="s">
        <v>64</v>
      </c>
      <c r="H9" s="7" t="s">
        <v>41</v>
      </c>
      <c r="I9" s="39" t="s">
        <v>26</v>
      </c>
    </row>
    <row r="10" spans="1:9" x14ac:dyDescent="0.45">
      <c r="A10" s="7" t="s">
        <v>65</v>
      </c>
      <c r="B10" s="28" t="s">
        <v>66</v>
      </c>
      <c r="C10" s="7">
        <f>(VLOOKUP(B10, 'Values for indicators'!AE:AF, 2, FALSE)*D10)</f>
        <v>0</v>
      </c>
      <c r="D10" s="7">
        <v>5</v>
      </c>
      <c r="E10" s="7">
        <f t="shared" si="0"/>
        <v>20</v>
      </c>
      <c r="F10" s="7" t="s">
        <v>67</v>
      </c>
      <c r="G10" s="7" t="s">
        <v>68</v>
      </c>
      <c r="H10" s="7" t="s">
        <v>69</v>
      </c>
      <c r="I10" s="7"/>
    </row>
    <row r="11" spans="1:9" x14ac:dyDescent="0.45">
      <c r="A11" s="40" t="s">
        <v>70</v>
      </c>
      <c r="B11" s="28" t="s">
        <v>66</v>
      </c>
      <c r="C11" s="7">
        <f>(VLOOKUP(B11, 'Values for indicators'!AE:AF, 2, FALSE)*D11)</f>
        <v>0</v>
      </c>
      <c r="D11" s="40">
        <v>4</v>
      </c>
      <c r="E11" s="7">
        <f t="shared" si="0"/>
        <v>16</v>
      </c>
      <c r="F11" s="7" t="s">
        <v>71</v>
      </c>
      <c r="G11" s="7" t="s">
        <v>72</v>
      </c>
      <c r="H11" s="7" t="s">
        <v>73</v>
      </c>
      <c r="I11" s="7"/>
    </row>
    <row r="12" spans="1:9" x14ac:dyDescent="0.45">
      <c r="A12" s="40" t="s">
        <v>74</v>
      </c>
      <c r="B12" s="28" t="s">
        <v>66</v>
      </c>
      <c r="C12" s="7">
        <f>(VLOOKUP(B12, 'Values for indicators'!AE:AF, 2, FALSE)*D12)</f>
        <v>0</v>
      </c>
      <c r="D12" s="40">
        <v>6</v>
      </c>
      <c r="E12" s="7">
        <f t="shared" si="0"/>
        <v>24</v>
      </c>
      <c r="F12" s="7" t="s">
        <v>75</v>
      </c>
      <c r="G12" s="7" t="s">
        <v>76</v>
      </c>
      <c r="H12" s="7" t="s">
        <v>73</v>
      </c>
      <c r="I12" s="7"/>
    </row>
    <row r="13" spans="1:9" x14ac:dyDescent="0.45">
      <c r="A13" s="40" t="s">
        <v>77</v>
      </c>
      <c r="B13" s="28" t="s">
        <v>78</v>
      </c>
      <c r="C13" s="7">
        <f>(VLOOKUP(B13, 'Values for indicators'!AH:AI, 2, FALSE)*D13)</f>
        <v>28</v>
      </c>
      <c r="D13" s="40">
        <v>7</v>
      </c>
      <c r="E13" s="7">
        <f t="shared" si="0"/>
        <v>28</v>
      </c>
      <c r="F13" s="7" t="s">
        <v>79</v>
      </c>
      <c r="G13" s="7" t="s">
        <v>80</v>
      </c>
      <c r="H13" s="7" t="s">
        <v>81</v>
      </c>
      <c r="I13" s="7"/>
    </row>
    <row r="14" spans="1:9" x14ac:dyDescent="0.45">
      <c r="A14" s="7" t="s">
        <v>82</v>
      </c>
      <c r="B14" s="28" t="s">
        <v>83</v>
      </c>
      <c r="C14" s="7">
        <f>(VLOOKUP(B14, 'Values for indicators'!AK:AL, 2, FALSE)*D14)</f>
        <v>9</v>
      </c>
      <c r="D14" s="7">
        <v>3</v>
      </c>
      <c r="E14" s="7">
        <f t="shared" si="0"/>
        <v>12</v>
      </c>
      <c r="F14" s="7" t="s">
        <v>84</v>
      </c>
      <c r="G14" s="7" t="s">
        <v>85</v>
      </c>
      <c r="H14" s="7" t="s">
        <v>86</v>
      </c>
      <c r="I14" s="7"/>
    </row>
    <row r="15" spans="1:9" x14ac:dyDescent="0.45">
      <c r="A15" s="40" t="s">
        <v>87</v>
      </c>
      <c r="B15" s="28" t="s">
        <v>88</v>
      </c>
      <c r="C15" s="7">
        <f>(VLOOKUP(B15, 'Values for indicators'!AN:AO, 2, FALSE)*D15)</f>
        <v>36</v>
      </c>
      <c r="D15" s="40">
        <v>9</v>
      </c>
      <c r="E15" s="7">
        <f t="shared" si="0"/>
        <v>36</v>
      </c>
      <c r="F15" s="7" t="s">
        <v>89</v>
      </c>
      <c r="G15" s="7" t="s">
        <v>90</v>
      </c>
      <c r="H15" s="7" t="s">
        <v>73</v>
      </c>
      <c r="I15" s="7"/>
    </row>
    <row r="16" spans="1:9" x14ac:dyDescent="0.45">
      <c r="A16" s="7" t="s">
        <v>91</v>
      </c>
      <c r="B16" s="28" t="s">
        <v>92</v>
      </c>
      <c r="C16" s="7">
        <f>(VLOOKUP(B16, 'Values for indicators'!AQ:AR, 2, FALSE)*D16)</f>
        <v>0</v>
      </c>
      <c r="D16" s="7">
        <v>5</v>
      </c>
      <c r="E16" s="7">
        <f t="shared" si="0"/>
        <v>20</v>
      </c>
      <c r="F16" s="7" t="s">
        <v>93</v>
      </c>
      <c r="G16" s="7" t="s">
        <v>94</v>
      </c>
      <c r="H16" s="7" t="s">
        <v>73</v>
      </c>
      <c r="I16" s="7"/>
    </row>
    <row r="17" spans="1:9" x14ac:dyDescent="0.45">
      <c r="A17" s="7" t="s">
        <v>95</v>
      </c>
      <c r="B17" s="28" t="s">
        <v>96</v>
      </c>
      <c r="C17" s="7">
        <f>(VLOOKUP(B17, 'Values for indicators'!AT:AU, 2, FALSE)*D17)</f>
        <v>0</v>
      </c>
      <c r="D17" s="7">
        <v>5</v>
      </c>
      <c r="E17" s="7">
        <f t="shared" si="0"/>
        <v>20</v>
      </c>
      <c r="F17" s="7" t="s">
        <v>97</v>
      </c>
      <c r="G17" s="7" t="s">
        <v>98</v>
      </c>
      <c r="H17" s="7" t="s">
        <v>99</v>
      </c>
      <c r="I17" s="39" t="s">
        <v>26</v>
      </c>
    </row>
    <row r="18" spans="1:9" x14ac:dyDescent="0.45">
      <c r="A18" s="7" t="s">
        <v>100</v>
      </c>
      <c r="B18" s="28" t="s">
        <v>101</v>
      </c>
      <c r="C18" s="7">
        <f>(VLOOKUP(B18, 'Values for indicators'!AE:AF, 2, FALSE)*D18)</f>
        <v>15</v>
      </c>
      <c r="D18" s="7">
        <v>5</v>
      </c>
      <c r="E18" s="7">
        <f t="shared" si="0"/>
        <v>20</v>
      </c>
      <c r="F18" s="7" t="s">
        <v>102</v>
      </c>
      <c r="G18" s="7" t="s">
        <v>103</v>
      </c>
      <c r="H18" s="7" t="s">
        <v>104</v>
      </c>
      <c r="I18" s="7"/>
    </row>
    <row r="19" spans="1:9" x14ac:dyDescent="0.45">
      <c r="A19" s="7" t="s">
        <v>105</v>
      </c>
      <c r="B19" s="28" t="s">
        <v>106</v>
      </c>
      <c r="C19" s="7">
        <f>(VLOOKUP(B19, 'Values for indicators'!AW:AX, 2, FALSE)*D19)</f>
        <v>15</v>
      </c>
      <c r="D19" s="7">
        <v>5</v>
      </c>
      <c r="E19" s="7">
        <f t="shared" si="0"/>
        <v>20</v>
      </c>
      <c r="F19" s="7" t="s">
        <v>107</v>
      </c>
      <c r="G19" s="40" t="s">
        <v>108</v>
      </c>
      <c r="H19" s="7" t="s">
        <v>69</v>
      </c>
      <c r="I19" s="7"/>
    </row>
    <row r="20" spans="1:9" x14ac:dyDescent="0.45">
      <c r="A20" s="7" t="s">
        <v>109</v>
      </c>
      <c r="B20" s="28" t="s">
        <v>110</v>
      </c>
      <c r="C20" s="7">
        <f>(VLOOKUP(B20, 'Values for indicators'!AZ:BA, 2, FALSE)*D20)</f>
        <v>20</v>
      </c>
      <c r="D20" s="7">
        <v>5</v>
      </c>
      <c r="E20" s="7">
        <f t="shared" si="0"/>
        <v>20</v>
      </c>
      <c r="F20" s="7" t="s">
        <v>111</v>
      </c>
      <c r="G20" s="7" t="s">
        <v>112</v>
      </c>
      <c r="H20" s="7" t="s">
        <v>113</v>
      </c>
      <c r="I20" s="39" t="s">
        <v>26</v>
      </c>
    </row>
    <row r="21" spans="1:9" x14ac:dyDescent="0.45">
      <c r="A21" s="7" t="s">
        <v>114</v>
      </c>
      <c r="B21" s="28" t="s">
        <v>115</v>
      </c>
      <c r="C21" s="7">
        <f>(VLOOKUP(B21, 'Values for indicators'!AZ:BA, 2, FALSE)*D21)</f>
        <v>10</v>
      </c>
      <c r="D21" s="7">
        <v>5</v>
      </c>
      <c r="E21" s="7">
        <f t="shared" si="0"/>
        <v>20</v>
      </c>
      <c r="F21" s="7" t="s">
        <v>116</v>
      </c>
      <c r="G21" s="7" t="s">
        <v>117</v>
      </c>
      <c r="H21" s="7" t="s">
        <v>118</v>
      </c>
      <c r="I21" s="39" t="s">
        <v>26</v>
      </c>
    </row>
    <row r="22" spans="1:9" x14ac:dyDescent="0.45">
      <c r="A22" s="31" t="s">
        <v>119</v>
      </c>
      <c r="B22" s="28"/>
      <c r="C22" s="40">
        <f>((SUM(C2:C21) / E22) * 100)</f>
        <v>52.25</v>
      </c>
      <c r="D22" s="7">
        <f>SUM(D2:D21)</f>
        <v>100</v>
      </c>
      <c r="E22" s="7">
        <f>SUM(E2:E21)</f>
        <v>400</v>
      </c>
      <c r="F22" s="7"/>
      <c r="G22" s="7"/>
      <c r="H22" s="7"/>
      <c r="I22" s="7"/>
    </row>
    <row r="24" spans="1:9" x14ac:dyDescent="0.45">
      <c r="A24" s="42" t="s">
        <v>120</v>
      </c>
      <c r="B24" s="43"/>
      <c r="C24" s="42">
        <v>48.5</v>
      </c>
    </row>
  </sheetData>
  <dataValidations count="15">
    <dataValidation type="list" allowBlank="1" showInputMessage="1" showErrorMessage="1" sqref="B20:B21" xr:uid="{D20C4EB1-87BD-429C-9489-7A6DD5C49176}">
      <formula1>BCEfficiency</formula1>
    </dataValidation>
    <dataValidation type="list" allowBlank="1" showInputMessage="1" showErrorMessage="1" sqref="B19" xr:uid="{A81F7B7D-31E0-4A3E-85F6-37A28F3CC277}">
      <formula1>BadDebtProvision</formula1>
    </dataValidation>
    <dataValidation type="list" allowBlank="1" showInputMessage="1" showErrorMessage="1" sqref="B17" xr:uid="{ACEE32FF-01D2-40B8-8CF5-F1014AD9A309}">
      <formula1>DebtorDays</formula1>
    </dataValidation>
    <dataValidation type="list" allowBlank="1" showInputMessage="1" showErrorMessage="1" sqref="B16" xr:uid="{F8706616-ACFA-456C-9258-EAF4864F2211}">
      <formula1>DebtToEquity</formula1>
    </dataValidation>
    <dataValidation type="list" allowBlank="1" showInputMessage="1" showErrorMessage="1" sqref="B15" xr:uid="{09B8BCA4-7DFF-4FC2-9342-7B82BAF16AC1}">
      <formula1>DebtCashAvailable</formula1>
    </dataValidation>
    <dataValidation type="list" allowBlank="1" showInputMessage="1" showErrorMessage="1" sqref="B14" xr:uid="{CD870A47-F3C8-4EC9-8B83-BC4E894B51CD}">
      <formula1>GrantDependency</formula1>
    </dataValidation>
    <dataValidation type="list" allowBlank="1" showInputMessage="1" showErrorMessage="1" sqref="B13" xr:uid="{BB6525CD-490B-4514-8644-FA1EEB81FB91}">
      <formula1>DebtServiceCoverage</formula1>
    </dataValidation>
    <dataValidation type="list" allowBlank="1" showInputMessage="1" showErrorMessage="1" sqref="B10:B12 B18" xr:uid="{49D96CBD-BD7E-4DCE-A9E9-A8CB8E72DD46}">
      <formula1>Percent25_10</formula1>
    </dataValidation>
    <dataValidation type="list" allowBlank="1" showInputMessage="1" showErrorMessage="1" sqref="B9" xr:uid="{1FF6EE63-C526-474C-BF30-3D4D2FCB1A94}">
      <formula1>OMCoverage</formula1>
    </dataValidation>
    <dataValidation type="list" allowBlank="1" showInputMessage="1" showErrorMessage="1" sqref="B8" xr:uid="{E27CAF45-E7B7-401D-8D39-2E1EC561B12A}">
      <formula1>AverageTarrifDifferential</formula1>
    </dataValidation>
    <dataValidation type="list" allowBlank="1" showInputMessage="1" showErrorMessage="1" sqref="B7" xr:uid="{34616A26-17E2-46ED-AAFD-2801912AB282}">
      <formula1>RevenueDiversification</formula1>
    </dataValidation>
    <dataValidation type="list" allowBlank="1" showInputMessage="1" showErrorMessage="1" sqref="B6" xr:uid="{1EBCAFF9-1599-4568-A5EC-1EB4AEC27830}">
      <formula1>StaffConnections</formula1>
    </dataValidation>
    <dataValidation type="list" allowBlank="1" showInputMessage="1" showErrorMessage="1" sqref="B5" xr:uid="{2517E6C0-FD0C-4C54-811B-62A24443909C}">
      <formula1>NonRevenue</formula1>
    </dataValidation>
    <dataValidation type="list" allowBlank="1" showInputMessage="1" showErrorMessage="1" sqref="B3:B4" xr:uid="{3BC83F09-C62A-4E30-9654-F2CB4A1D62D8}">
      <formula1>SanitationCoverage</formula1>
    </dataValidation>
    <dataValidation type="list" allowBlank="1" showInputMessage="1" showErrorMessage="1" sqref="B2" xr:uid="{49CBE69F-1910-4D46-8B66-B2A1387FB1C0}">
      <formula1>"0-20,20-40,40-60,60-80,80-100"</formula1>
    </dataValidation>
  </dataValidations>
  <hyperlinks>
    <hyperlink ref="I2" r:id="rId1" xr:uid="{10B86120-BA29-4C53-BFD1-A60A58587357}"/>
    <hyperlink ref="I3" r:id="rId2" xr:uid="{D53EB3A1-CF25-44CD-97A4-05CE8729D5ED}"/>
    <hyperlink ref="I4" r:id="rId3" xr:uid="{7F65F1AE-DF1C-4B11-86B2-6A08BE064BAD}"/>
    <hyperlink ref="I5" r:id="rId4" xr:uid="{F7BC766B-BC12-44BC-AC67-336D60893F35}"/>
    <hyperlink ref="I6" r:id="rId5" xr:uid="{2DC16D5B-488A-40F5-8411-28CE6FD764E4}"/>
    <hyperlink ref="I9" r:id="rId6" xr:uid="{457CD9AC-BEBA-46C8-99BC-8C121F47A033}"/>
    <hyperlink ref="I17" r:id="rId7" xr:uid="{B7A5660A-C089-47E5-B9D3-2D789545C73E}"/>
    <hyperlink ref="I20" r:id="rId8" xr:uid="{092F0889-109A-471B-AB26-CD05D43E1EEC}"/>
    <hyperlink ref="I21" r:id="rId9" xr:uid="{C57A4FCC-39E7-4053-A7A7-E61C28997B44}"/>
  </hyperlinks>
  <pageMargins left="0.7" right="0.7" top="0.75" bottom="0.75" header="0.3" footer="0.3"/>
  <pageSetup orientation="portrait" r:id="rId10"/>
  <headerFooter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BFCA-739C-4388-8DD0-622E30033C46}">
  <dimension ref="A1:BA10"/>
  <sheetViews>
    <sheetView topLeftCell="AA1" zoomScale="115" zoomScaleNormal="115" workbookViewId="0">
      <selection activeCell="X9" sqref="X9"/>
    </sheetView>
  </sheetViews>
  <sheetFormatPr defaultRowHeight="14.25" x14ac:dyDescent="0.45"/>
  <cols>
    <col min="4" max="4" width="11.59765625" customWidth="1"/>
    <col min="5" max="5" width="12.59765625" customWidth="1"/>
    <col min="10" max="10" width="11.73046875" customWidth="1"/>
    <col min="11" max="11" width="11" customWidth="1"/>
    <col min="12" max="12" width="6.86328125" customWidth="1"/>
    <col min="13" max="13" width="12.1328125" customWidth="1"/>
    <col min="14" max="14" width="9.86328125" customWidth="1"/>
    <col min="16" max="16" width="11.1328125" customWidth="1"/>
    <col min="17" max="17" width="10.86328125" customWidth="1"/>
    <col min="19" max="19" width="12.73046875" customWidth="1"/>
    <col min="20" max="20" width="11.73046875" customWidth="1"/>
    <col min="22" max="22" width="12.265625" customWidth="1"/>
    <col min="31" max="31" width="12.73046875" customWidth="1"/>
    <col min="34" max="34" width="17.86328125" customWidth="1"/>
    <col min="40" max="40" width="15.86328125" customWidth="1"/>
    <col min="41" max="41" width="15.73046875" customWidth="1"/>
    <col min="52" max="52" width="13.3984375" customWidth="1"/>
    <col min="53" max="53" width="13.265625" customWidth="1"/>
  </cols>
  <sheetData>
    <row r="1" spans="1:53" x14ac:dyDescent="0.45">
      <c r="A1" s="1" t="s">
        <v>121</v>
      </c>
      <c r="B1" s="1">
        <v>4</v>
      </c>
      <c r="C1" s="12"/>
      <c r="D1" s="2">
        <v>100</v>
      </c>
      <c r="E1" s="2">
        <v>4</v>
      </c>
      <c r="F1" s="12"/>
      <c r="G1" s="3" t="s">
        <v>122</v>
      </c>
      <c r="H1" s="3">
        <v>4</v>
      </c>
      <c r="I1" s="12"/>
      <c r="J1" s="4" t="s">
        <v>123</v>
      </c>
      <c r="K1" s="4">
        <v>4</v>
      </c>
      <c r="M1" s="11" t="s">
        <v>124</v>
      </c>
      <c r="N1" s="11">
        <v>4</v>
      </c>
      <c r="P1" s="13" t="s">
        <v>125</v>
      </c>
      <c r="Q1" s="13">
        <v>4</v>
      </c>
      <c r="S1" s="14" t="s">
        <v>126</v>
      </c>
      <c r="T1" s="14">
        <v>4</v>
      </c>
      <c r="V1" s="15" t="s">
        <v>124</v>
      </c>
      <c r="W1" s="15">
        <v>4</v>
      </c>
      <c r="Y1" s="16" t="s">
        <v>127</v>
      </c>
      <c r="Z1" s="16">
        <v>4</v>
      </c>
      <c r="AB1" s="17" t="s">
        <v>128</v>
      </c>
      <c r="AC1" s="17">
        <v>4</v>
      </c>
      <c r="AE1" s="18" t="s">
        <v>53</v>
      </c>
      <c r="AF1" s="18">
        <v>4</v>
      </c>
      <c r="AH1" s="19" t="s">
        <v>78</v>
      </c>
      <c r="AI1" s="19">
        <v>4</v>
      </c>
      <c r="AK1" s="20">
        <v>0</v>
      </c>
      <c r="AL1" s="21">
        <v>4</v>
      </c>
      <c r="AN1" s="22" t="s">
        <v>88</v>
      </c>
      <c r="AO1" s="22">
        <v>4</v>
      </c>
      <c r="AQ1" s="23" t="s">
        <v>129</v>
      </c>
      <c r="AR1" s="23">
        <v>4</v>
      </c>
      <c r="AT1" s="24" t="s">
        <v>130</v>
      </c>
      <c r="AU1" s="24">
        <v>4</v>
      </c>
      <c r="AW1" s="25" t="s">
        <v>131</v>
      </c>
      <c r="AX1" s="25">
        <v>4</v>
      </c>
      <c r="AZ1" s="26" t="s">
        <v>110</v>
      </c>
      <c r="BA1" s="26">
        <v>4</v>
      </c>
    </row>
    <row r="2" spans="1:53" x14ac:dyDescent="0.45">
      <c r="A2" s="1" t="s">
        <v>10</v>
      </c>
      <c r="B2" s="1">
        <v>3</v>
      </c>
      <c r="C2" s="12"/>
      <c r="D2" s="2" t="s">
        <v>16</v>
      </c>
      <c r="E2" s="2">
        <v>3</v>
      </c>
      <c r="F2" s="12"/>
      <c r="G2" s="3" t="s">
        <v>132</v>
      </c>
      <c r="H2" s="3">
        <v>3</v>
      </c>
      <c r="I2" s="12"/>
      <c r="J2" s="4">
        <v>6</v>
      </c>
      <c r="K2" s="4">
        <v>3</v>
      </c>
      <c r="M2" s="11" t="s">
        <v>133</v>
      </c>
      <c r="N2" s="11">
        <v>3</v>
      </c>
      <c r="P2" s="13" t="s">
        <v>134</v>
      </c>
      <c r="Q2" s="13">
        <v>3</v>
      </c>
      <c r="S2" s="14" t="s">
        <v>135</v>
      </c>
      <c r="T2" s="14">
        <v>3</v>
      </c>
      <c r="V2" s="15" t="s">
        <v>136</v>
      </c>
      <c r="W2" s="15">
        <v>3</v>
      </c>
      <c r="Y2" s="16" t="s">
        <v>137</v>
      </c>
      <c r="Z2" s="16">
        <v>3</v>
      </c>
      <c r="AB2" s="17" t="s">
        <v>62</v>
      </c>
      <c r="AC2" s="17">
        <v>3</v>
      </c>
      <c r="AE2" s="18" t="s">
        <v>101</v>
      </c>
      <c r="AF2" s="18">
        <v>3</v>
      </c>
      <c r="AH2" s="19" t="s">
        <v>138</v>
      </c>
      <c r="AI2" s="19">
        <v>3</v>
      </c>
      <c r="AK2" s="21" t="s">
        <v>83</v>
      </c>
      <c r="AL2" s="21">
        <v>3</v>
      </c>
      <c r="AN2" s="22" t="s">
        <v>139</v>
      </c>
      <c r="AO2" s="22">
        <v>3</v>
      </c>
      <c r="AQ2" s="23" t="s">
        <v>101</v>
      </c>
      <c r="AR2" s="23">
        <v>3</v>
      </c>
      <c r="AT2" s="24" t="s">
        <v>140</v>
      </c>
      <c r="AU2" s="24">
        <v>3</v>
      </c>
      <c r="AW2" s="25" t="s">
        <v>106</v>
      </c>
      <c r="AX2" s="25">
        <v>3</v>
      </c>
      <c r="AZ2" s="26" t="s">
        <v>141</v>
      </c>
      <c r="BA2" s="26">
        <v>3</v>
      </c>
    </row>
    <row r="3" spans="1:53" x14ac:dyDescent="0.45">
      <c r="A3" s="1" t="s">
        <v>142</v>
      </c>
      <c r="B3" s="1">
        <v>2</v>
      </c>
      <c r="C3" s="12"/>
      <c r="D3" s="2" t="s">
        <v>143</v>
      </c>
      <c r="E3" s="2">
        <v>2</v>
      </c>
      <c r="F3" s="12"/>
      <c r="G3" s="5" t="s">
        <v>28</v>
      </c>
      <c r="H3" s="3">
        <v>2</v>
      </c>
      <c r="I3" s="12"/>
      <c r="J3" s="4">
        <v>7</v>
      </c>
      <c r="K3" s="4">
        <v>2</v>
      </c>
      <c r="M3" s="11" t="s">
        <v>144</v>
      </c>
      <c r="N3" s="11">
        <v>2</v>
      </c>
      <c r="P3" s="13" t="s">
        <v>43</v>
      </c>
      <c r="Q3" s="13">
        <v>2</v>
      </c>
      <c r="S3" s="14" t="s">
        <v>48</v>
      </c>
      <c r="T3" s="14">
        <v>2</v>
      </c>
      <c r="V3" s="15" t="s">
        <v>145</v>
      </c>
      <c r="W3" s="15">
        <v>2</v>
      </c>
      <c r="Y3" s="16" t="s">
        <v>146</v>
      </c>
      <c r="Z3" s="16">
        <v>2</v>
      </c>
      <c r="AB3" s="17" t="s">
        <v>147</v>
      </c>
      <c r="AC3" s="17">
        <v>2</v>
      </c>
      <c r="AE3" s="18" t="s">
        <v>145</v>
      </c>
      <c r="AF3" s="18">
        <v>2</v>
      </c>
      <c r="AH3" s="19" t="s">
        <v>148</v>
      </c>
      <c r="AI3" s="19">
        <v>2</v>
      </c>
      <c r="AK3" s="21" t="s">
        <v>136</v>
      </c>
      <c r="AL3" s="21">
        <v>2</v>
      </c>
      <c r="AN3" s="22" t="s">
        <v>149</v>
      </c>
      <c r="AO3" s="22">
        <v>2</v>
      </c>
      <c r="AQ3" s="23" t="s">
        <v>137</v>
      </c>
      <c r="AR3" s="23">
        <v>2</v>
      </c>
      <c r="AT3" s="24" t="s">
        <v>106</v>
      </c>
      <c r="AU3" s="24">
        <v>2</v>
      </c>
      <c r="AW3" s="25" t="s">
        <v>150</v>
      </c>
      <c r="AX3" s="25">
        <v>2</v>
      </c>
      <c r="AZ3" s="26" t="s">
        <v>115</v>
      </c>
      <c r="BA3" s="26">
        <v>2</v>
      </c>
    </row>
    <row r="4" spans="1:53" x14ac:dyDescent="0.45">
      <c r="A4" s="1" t="s">
        <v>151</v>
      </c>
      <c r="B4" s="1">
        <v>1</v>
      </c>
      <c r="C4" s="12"/>
      <c r="D4" s="2" t="s">
        <v>22</v>
      </c>
      <c r="E4" s="2">
        <v>1</v>
      </c>
      <c r="F4" s="12"/>
      <c r="G4" s="3" t="s">
        <v>152</v>
      </c>
      <c r="H4" s="3">
        <v>1</v>
      </c>
      <c r="I4" s="12"/>
      <c r="J4" s="4">
        <v>8</v>
      </c>
      <c r="K4" s="4">
        <v>1</v>
      </c>
      <c r="M4" s="11" t="s">
        <v>153</v>
      </c>
      <c r="N4" s="11">
        <v>1</v>
      </c>
      <c r="P4" s="13" t="s">
        <v>154</v>
      </c>
      <c r="Q4" s="13">
        <v>1</v>
      </c>
      <c r="S4" s="14" t="s">
        <v>155</v>
      </c>
      <c r="T4" s="14">
        <v>1</v>
      </c>
      <c r="V4" s="15" t="s">
        <v>101</v>
      </c>
      <c r="W4" s="15">
        <v>1</v>
      </c>
      <c r="Y4" s="16" t="s">
        <v>58</v>
      </c>
      <c r="Z4" s="16">
        <v>1</v>
      </c>
      <c r="AB4" s="17" t="s">
        <v>156</v>
      </c>
      <c r="AC4" s="17">
        <v>1</v>
      </c>
      <c r="AE4" s="18" t="s">
        <v>136</v>
      </c>
      <c r="AF4" s="18">
        <v>1</v>
      </c>
      <c r="AH4" s="19" t="s">
        <v>157</v>
      </c>
      <c r="AI4" s="19">
        <v>1</v>
      </c>
      <c r="AK4" s="21" t="s">
        <v>145</v>
      </c>
      <c r="AL4" s="21">
        <v>1</v>
      </c>
      <c r="AN4" s="22" t="s">
        <v>158</v>
      </c>
      <c r="AO4" s="22">
        <v>1</v>
      </c>
      <c r="AQ4" s="23" t="s">
        <v>146</v>
      </c>
      <c r="AR4" s="23">
        <v>1</v>
      </c>
      <c r="AT4" s="24" t="s">
        <v>159</v>
      </c>
      <c r="AU4" s="24">
        <v>1</v>
      </c>
      <c r="AW4" s="25" t="s">
        <v>160</v>
      </c>
      <c r="AX4" s="25">
        <v>1</v>
      </c>
      <c r="AZ4" s="26" t="s">
        <v>161</v>
      </c>
      <c r="BA4" s="26">
        <v>1</v>
      </c>
    </row>
    <row r="5" spans="1:53" x14ac:dyDescent="0.45">
      <c r="A5" s="1" t="s">
        <v>162</v>
      </c>
      <c r="B5" s="1">
        <v>0</v>
      </c>
      <c r="C5" s="12"/>
      <c r="D5" s="2" t="s">
        <v>163</v>
      </c>
      <c r="E5" s="2">
        <v>0</v>
      </c>
      <c r="F5" s="12"/>
      <c r="G5" s="3" t="s">
        <v>164</v>
      </c>
      <c r="H5" s="3">
        <v>0</v>
      </c>
      <c r="I5" s="12"/>
      <c r="J5" s="4" t="s">
        <v>165</v>
      </c>
      <c r="K5" s="4">
        <v>0</v>
      </c>
      <c r="M5" s="11" t="s">
        <v>38</v>
      </c>
      <c r="N5" s="11">
        <v>0</v>
      </c>
      <c r="P5" s="13" t="s">
        <v>166</v>
      </c>
      <c r="Q5" s="13">
        <v>0</v>
      </c>
      <c r="S5" s="14">
        <v>0</v>
      </c>
      <c r="T5" s="14">
        <v>0</v>
      </c>
      <c r="V5" s="15" t="s">
        <v>53</v>
      </c>
      <c r="W5" s="15">
        <v>0</v>
      </c>
      <c r="Y5" s="16" t="s">
        <v>167</v>
      </c>
      <c r="Z5" s="16">
        <v>0</v>
      </c>
      <c r="AB5" s="17" t="s">
        <v>168</v>
      </c>
      <c r="AC5" s="17">
        <v>0</v>
      </c>
      <c r="AE5" s="18" t="s">
        <v>66</v>
      </c>
      <c r="AF5" s="18">
        <v>0</v>
      </c>
      <c r="AH5" s="19" t="s">
        <v>169</v>
      </c>
      <c r="AI5" s="19">
        <v>0</v>
      </c>
      <c r="AK5" s="21" t="s">
        <v>170</v>
      </c>
      <c r="AL5" s="21">
        <v>0</v>
      </c>
      <c r="AN5" s="22" t="s">
        <v>171</v>
      </c>
      <c r="AO5" s="22">
        <v>0</v>
      </c>
      <c r="AQ5" s="23" t="s">
        <v>92</v>
      </c>
      <c r="AR5" s="23">
        <v>0</v>
      </c>
      <c r="AT5" s="24" t="s">
        <v>96</v>
      </c>
      <c r="AU5" s="24">
        <v>0</v>
      </c>
      <c r="AW5" s="25" t="s">
        <v>172</v>
      </c>
      <c r="AX5" s="25">
        <v>0</v>
      </c>
      <c r="AZ5" s="26" t="s">
        <v>173</v>
      </c>
      <c r="BA5" s="26">
        <v>0</v>
      </c>
    </row>
    <row r="6" spans="1:53" x14ac:dyDescent="0.45">
      <c r="A6" s="6"/>
      <c r="B6" s="6"/>
      <c r="D6" s="8"/>
      <c r="E6" s="8"/>
      <c r="G6" s="9"/>
      <c r="H6" s="9"/>
      <c r="J6" s="10"/>
      <c r="K6" s="10"/>
      <c r="M6" s="11"/>
      <c r="N6" s="11"/>
      <c r="P6" s="13"/>
      <c r="Q6" s="13"/>
      <c r="S6" s="14"/>
      <c r="T6" s="14"/>
      <c r="V6" s="15"/>
      <c r="W6" s="15"/>
      <c r="Y6" s="16"/>
      <c r="Z6" s="16"/>
      <c r="AB6" s="17"/>
      <c r="AC6" s="17"/>
      <c r="AE6" s="18"/>
      <c r="AF6" s="18"/>
      <c r="AH6" s="19"/>
      <c r="AI6" s="19"/>
      <c r="AK6" s="21"/>
      <c r="AL6" s="21"/>
      <c r="AN6" s="22"/>
      <c r="AO6" s="22"/>
      <c r="AQ6" s="23"/>
      <c r="AR6" s="23"/>
      <c r="AT6" s="24"/>
      <c r="AU6" s="24"/>
      <c r="AW6" s="25"/>
      <c r="AX6" s="25"/>
      <c r="AZ6" s="26"/>
      <c r="BA6" s="26"/>
    </row>
    <row r="7" spans="1:53" x14ac:dyDescent="0.45">
      <c r="A7" s="45" t="s">
        <v>9</v>
      </c>
      <c r="B7" s="45"/>
      <c r="D7" s="46" t="s">
        <v>174</v>
      </c>
      <c r="E7" s="46"/>
      <c r="G7" s="47" t="s">
        <v>175</v>
      </c>
      <c r="H7" s="47"/>
      <c r="J7" s="48" t="s">
        <v>176</v>
      </c>
      <c r="K7" s="48"/>
      <c r="M7" s="49" t="s">
        <v>177</v>
      </c>
      <c r="N7" s="49"/>
      <c r="P7" s="44" t="s">
        <v>178</v>
      </c>
      <c r="Q7" s="44"/>
      <c r="S7" s="50" t="s">
        <v>179</v>
      </c>
      <c r="T7" s="50"/>
      <c r="V7" s="51" t="s">
        <v>180</v>
      </c>
      <c r="W7" s="51"/>
      <c r="Y7" s="52" t="s">
        <v>181</v>
      </c>
      <c r="Z7" s="52"/>
      <c r="AB7" s="53" t="s">
        <v>182</v>
      </c>
      <c r="AC7" s="53"/>
      <c r="AE7" s="54" t="s">
        <v>183</v>
      </c>
      <c r="AF7" s="54"/>
      <c r="AH7" s="58" t="s">
        <v>184</v>
      </c>
      <c r="AI7" s="58"/>
      <c r="AK7" s="59" t="s">
        <v>185</v>
      </c>
      <c r="AL7" s="59"/>
      <c r="AN7" s="60" t="s">
        <v>186</v>
      </c>
      <c r="AO7" s="60"/>
      <c r="AQ7" s="61" t="s">
        <v>187</v>
      </c>
      <c r="AR7" s="61"/>
      <c r="AT7" s="55" t="s">
        <v>188</v>
      </c>
      <c r="AU7" s="55"/>
      <c r="AW7" s="56" t="s">
        <v>189</v>
      </c>
      <c r="AX7" s="56"/>
      <c r="AZ7" s="57" t="s">
        <v>190</v>
      </c>
      <c r="BA7" s="57"/>
    </row>
    <row r="8" spans="1:53" x14ac:dyDescent="0.45">
      <c r="AE8" s="54" t="s">
        <v>70</v>
      </c>
      <c r="AF8" s="54"/>
    </row>
    <row r="9" spans="1:53" x14ac:dyDescent="0.45">
      <c r="AE9" s="54" t="s">
        <v>191</v>
      </c>
      <c r="AF9" s="54"/>
    </row>
    <row r="10" spans="1:53" x14ac:dyDescent="0.45">
      <c r="AE10" s="54" t="s">
        <v>192</v>
      </c>
      <c r="AF10" s="54"/>
    </row>
  </sheetData>
  <mergeCells count="21">
    <mergeCell ref="AT7:AU7"/>
    <mergeCell ref="AW7:AX7"/>
    <mergeCell ref="AZ7:BA7"/>
    <mergeCell ref="AE9:AF9"/>
    <mergeCell ref="AE10:AF10"/>
    <mergeCell ref="AH7:AI7"/>
    <mergeCell ref="AK7:AL7"/>
    <mergeCell ref="AN7:AO7"/>
    <mergeCell ref="AQ7:AR7"/>
    <mergeCell ref="AE8:AF8"/>
    <mergeCell ref="S7:T7"/>
    <mergeCell ref="V7:W7"/>
    <mergeCell ref="Y7:Z7"/>
    <mergeCell ref="AB7:AC7"/>
    <mergeCell ref="AE7:AF7"/>
    <mergeCell ref="P7:Q7"/>
    <mergeCell ref="A7:B7"/>
    <mergeCell ref="D7:E7"/>
    <mergeCell ref="G7:H7"/>
    <mergeCell ref="J7:K7"/>
    <mergeCell ref="M7:N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7E4A-A008-4578-A587-F782AC80916F}">
  <dimension ref="A1:B24"/>
  <sheetViews>
    <sheetView workbookViewId="0">
      <selection activeCell="D22" sqref="D22"/>
    </sheetView>
  </sheetViews>
  <sheetFormatPr defaultRowHeight="14.25" x14ac:dyDescent="0.45"/>
  <cols>
    <col min="1" max="1" width="33.73046875" customWidth="1"/>
  </cols>
  <sheetData>
    <row r="1" spans="1:2" x14ac:dyDescent="0.45">
      <c r="A1" s="34" t="s">
        <v>0</v>
      </c>
      <c r="B1" s="35" t="s">
        <v>3</v>
      </c>
    </row>
    <row r="2" spans="1:2" x14ac:dyDescent="0.45">
      <c r="A2" s="32" t="s">
        <v>87</v>
      </c>
      <c r="B2" s="33">
        <v>10</v>
      </c>
    </row>
    <row r="3" spans="1:2" x14ac:dyDescent="0.45">
      <c r="A3" s="32" t="s">
        <v>42</v>
      </c>
      <c r="B3" s="33">
        <v>8</v>
      </c>
    </row>
    <row r="4" spans="1:2" x14ac:dyDescent="0.45">
      <c r="A4" s="32" t="s">
        <v>37</v>
      </c>
      <c r="B4" s="33">
        <v>6</v>
      </c>
    </row>
    <row r="5" spans="1:2" x14ac:dyDescent="0.45">
      <c r="A5" s="32" t="s">
        <v>27</v>
      </c>
      <c r="B5" s="33">
        <v>5</v>
      </c>
    </row>
    <row r="6" spans="1:2" x14ac:dyDescent="0.45">
      <c r="A6" s="32" t="s">
        <v>65</v>
      </c>
      <c r="B6" s="33">
        <v>5</v>
      </c>
    </row>
    <row r="7" spans="1:2" x14ac:dyDescent="0.45">
      <c r="A7" s="32" t="s">
        <v>70</v>
      </c>
      <c r="B7" s="33">
        <v>5</v>
      </c>
    </row>
    <row r="8" spans="1:2" x14ac:dyDescent="0.45">
      <c r="A8" s="32" t="s">
        <v>77</v>
      </c>
      <c r="B8" s="33">
        <v>5</v>
      </c>
    </row>
    <row r="9" spans="1:2" x14ac:dyDescent="0.45">
      <c r="A9" s="32" t="s">
        <v>91</v>
      </c>
      <c r="B9" s="33">
        <v>5</v>
      </c>
    </row>
    <row r="10" spans="1:2" x14ac:dyDescent="0.45">
      <c r="A10" s="32" t="s">
        <v>95</v>
      </c>
      <c r="B10" s="33">
        <v>5</v>
      </c>
    </row>
    <row r="11" spans="1:2" x14ac:dyDescent="0.45">
      <c r="A11" s="32" t="s">
        <v>100</v>
      </c>
      <c r="B11" s="33">
        <v>5</v>
      </c>
    </row>
    <row r="12" spans="1:2" x14ac:dyDescent="0.45">
      <c r="A12" s="32" t="s">
        <v>105</v>
      </c>
      <c r="B12" s="33">
        <v>5</v>
      </c>
    </row>
    <row r="13" spans="1:2" x14ac:dyDescent="0.45">
      <c r="A13" s="32" t="s">
        <v>109</v>
      </c>
      <c r="B13" s="33">
        <v>5</v>
      </c>
    </row>
    <row r="14" spans="1:2" x14ac:dyDescent="0.45">
      <c r="A14" s="32" t="s">
        <v>114</v>
      </c>
      <c r="B14" s="33">
        <v>5</v>
      </c>
    </row>
    <row r="15" spans="1:2" x14ac:dyDescent="0.45">
      <c r="A15" s="32" t="s">
        <v>61</v>
      </c>
      <c r="B15" s="33">
        <v>4</v>
      </c>
    </row>
    <row r="16" spans="1:2" x14ac:dyDescent="0.45">
      <c r="A16" s="32" t="s">
        <v>74</v>
      </c>
      <c r="B16" s="33">
        <v>4</v>
      </c>
    </row>
    <row r="17" spans="1:2" x14ac:dyDescent="0.45">
      <c r="A17" s="32" t="s">
        <v>9</v>
      </c>
      <c r="B17" s="33">
        <v>3</v>
      </c>
    </row>
    <row r="18" spans="1:2" x14ac:dyDescent="0.45">
      <c r="A18" s="32" t="s">
        <v>33</v>
      </c>
      <c r="B18" s="33">
        <v>3</v>
      </c>
    </row>
    <row r="19" spans="1:2" x14ac:dyDescent="0.45">
      <c r="A19" s="32" t="s">
        <v>47</v>
      </c>
      <c r="B19" s="33">
        <v>3</v>
      </c>
    </row>
    <row r="20" spans="1:2" x14ac:dyDescent="0.45">
      <c r="A20" s="32" t="s">
        <v>82</v>
      </c>
      <c r="B20" s="33">
        <v>3</v>
      </c>
    </row>
    <row r="21" spans="1:2" x14ac:dyDescent="0.45">
      <c r="A21" s="32" t="s">
        <v>52</v>
      </c>
      <c r="B21" s="33">
        <v>2</v>
      </c>
    </row>
    <row r="22" spans="1:2" x14ac:dyDescent="0.45">
      <c r="A22" s="32" t="s">
        <v>57</v>
      </c>
      <c r="B22" s="33">
        <v>2</v>
      </c>
    </row>
    <row r="23" spans="1:2" x14ac:dyDescent="0.45">
      <c r="A23" s="32" t="s">
        <v>15</v>
      </c>
      <c r="B23" s="33">
        <v>1</v>
      </c>
    </row>
    <row r="24" spans="1:2" x14ac:dyDescent="0.45">
      <c r="A24" s="36" t="s">
        <v>21</v>
      </c>
      <c r="B24" s="3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117f0-4824-40b0-b268-2d8db8bf5c0e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47A42DA85AB6468B0F1F2D6C79EDC8" ma:contentTypeVersion="18" ma:contentTypeDescription="Create a new document." ma:contentTypeScope="" ma:versionID="12cac0749385520dec60c3ceab96040a">
  <xsd:schema xmlns:xsd="http://www.w3.org/2001/XMLSchema" xmlns:xs="http://www.w3.org/2001/XMLSchema" xmlns:p="http://schemas.microsoft.com/office/2006/metadata/properties" xmlns:ns3="fdc117f0-4824-40b0-b268-2d8db8bf5c0e" xmlns:ns4="a0fdc3bb-5ccd-4e47-ba89-96977f1f97c4" targetNamespace="http://schemas.microsoft.com/office/2006/metadata/properties" ma:root="true" ma:fieldsID="4c91bc307181d500eec5560c353cc4ff" ns3:_="" ns4:_="">
    <xsd:import namespace="fdc117f0-4824-40b0-b268-2d8db8bf5c0e"/>
    <xsd:import namespace="a0fdc3bb-5ccd-4e47-ba89-96977f1f97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117f0-4824-40b0-b268-2d8db8bf5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dc3bb-5ccd-4e47-ba89-96977f1f97c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2110AF-2FCD-4E3E-89B8-EF7F1A4468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36FFF7-662C-4E82-8571-417AC522D82A}">
  <ds:schemaRefs>
    <ds:schemaRef ds:uri="http://purl.org/dc/elements/1.1/"/>
    <ds:schemaRef ds:uri="http://schemas.microsoft.com/office/2006/documentManagement/types"/>
    <ds:schemaRef ds:uri="a0fdc3bb-5ccd-4e47-ba89-96977f1f97c4"/>
    <ds:schemaRef ds:uri="http://purl.org/dc/terms/"/>
    <ds:schemaRef ds:uri="http://schemas.microsoft.com/office/2006/metadata/properties"/>
    <ds:schemaRef ds:uri="fdc117f0-4824-40b0-b268-2d8db8bf5c0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3218023-7951-4BEB-B43D-87FB03B91C1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C320F33-66DE-4F02-902F-93E6277D3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117f0-4824-40b0-b268-2d8db8bf5c0e"/>
    <ds:schemaRef ds:uri="a0fdc3bb-5ccd-4e47-ba89-96977f1f9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19</vt:i4>
      </vt:variant>
    </vt:vector>
  </HeadingPairs>
  <TitlesOfParts>
    <vt:vector size="23" baseType="lpstr">
      <vt:lpstr>Basis for index score</vt:lpstr>
      <vt:lpstr>Merging O&amp;M</vt:lpstr>
      <vt:lpstr>Values for indicators</vt:lpstr>
      <vt:lpstr>Weight ranking</vt:lpstr>
      <vt:lpstr>AverageTarrifDifferential</vt:lpstr>
      <vt:lpstr>BadDebtProvision</vt:lpstr>
      <vt:lpstr>BCEfficiency</vt:lpstr>
      <vt:lpstr>DebtCashAvailable</vt:lpstr>
      <vt:lpstr>DebtorDays</vt:lpstr>
      <vt:lpstr>DebtServiceCoverage</vt:lpstr>
      <vt:lpstr>DebtToEquity</vt:lpstr>
      <vt:lpstr>ElectricityCosts</vt:lpstr>
      <vt:lpstr>EmployeeCosts</vt:lpstr>
      <vt:lpstr>GrantDependency</vt:lpstr>
      <vt:lpstr>MaintenanceCosts</vt:lpstr>
      <vt:lpstr>NonRevenue</vt:lpstr>
      <vt:lpstr>OMCoverage</vt:lpstr>
      <vt:lpstr>Percent25_10</vt:lpstr>
      <vt:lpstr>PovertyRate</vt:lpstr>
      <vt:lpstr>povertyRateDisplay</vt:lpstr>
      <vt:lpstr>RevenueDiversification</vt:lpstr>
      <vt:lpstr>SanitationCoverage</vt:lpstr>
      <vt:lpstr>StaffConnections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Sambasiva Rao Bolleddula</dc:creator>
  <cp:keywords/>
  <dc:description/>
  <cp:lastModifiedBy>Ana De Menezes</cp:lastModifiedBy>
  <cp:revision/>
  <dcterms:created xsi:type="dcterms:W3CDTF">2025-10-29T15:37:04Z</dcterms:created>
  <dcterms:modified xsi:type="dcterms:W3CDTF">2026-07-15T12:44:39Z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2025-10-29T15:37:14Z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73972883-8aac-43b6-a47f-8a652b9015d9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0x0101003247A42DA85AB6468B0F1F2D6C79EDC8</vt:lpwstr>
  </property>
</Properties>
</file>